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idomorova_OA\Desktop\ТОРГИ 2026\223-ФЗ\Ремонт фасада и цоколя Потешная д.3, к.5 (ОГЗ-556-26) -\"/>
    </mc:Choice>
  </mc:AlternateContent>
  <xr:revisionPtr revIDLastSave="0" documentId="13_ncr:1_{B2375066-7EF8-43BC-AE4A-D1F1CDB2E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мета СН-2012 по гл. 1-5" sheetId="7" r:id="rId1"/>
    <sheet name="Дефектная ведомость" sheetId="8" r:id="rId2"/>
    <sheet name="RV_DATA" sheetId="10" state="hidden" r:id="rId3"/>
    <sheet name="Расчет стоимости ресурсов" sheetId="9" r:id="rId4"/>
  </sheets>
  <definedNames>
    <definedName name="_xlnm.Print_Titles" localSheetId="1">'Дефектная ведомость'!$18:$18</definedName>
    <definedName name="_xlnm.Print_Titles" localSheetId="3">'Расчет стоимости ресурсов'!$4:$7</definedName>
    <definedName name="_xlnm.Print_Titles" localSheetId="0">'Смета СН-2012 по гл. 1-5'!$31:$31</definedName>
    <definedName name="_xlnm.Print_Area" localSheetId="1">'Дефектная ведомость'!$A$1:$E$85</definedName>
    <definedName name="_xlnm.Print_Area" localSheetId="3">'Расчет стоимости ресурсов'!$A$1:$F$133</definedName>
    <definedName name="_xlnm.Print_Area" localSheetId="0">'Смета СН-2012 по гл. 1-5'!$A$1:$K$590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10" l="1"/>
  <c r="A151" i="10"/>
  <c r="Z150" i="10"/>
  <c r="Q150" i="10"/>
  <c r="T150" i="10" s="1"/>
  <c r="S150" i="10"/>
  <c r="P150" i="10"/>
  <c r="M150" i="10"/>
  <c r="L150" i="10"/>
  <c r="O150" i="10" s="1"/>
  <c r="N150" i="10"/>
  <c r="K150" i="10"/>
  <c r="J150" i="10"/>
  <c r="I150" i="10"/>
  <c r="H150" i="10"/>
  <c r="G150" i="10"/>
  <c r="F150" i="10"/>
  <c r="E150" i="10"/>
  <c r="Z149" i="10"/>
  <c r="Q149" i="10"/>
  <c r="T149" i="10" s="1"/>
  <c r="S149" i="10"/>
  <c r="P149" i="10"/>
  <c r="L149" i="10"/>
  <c r="O149" i="10" s="1"/>
  <c r="N149" i="10"/>
  <c r="K149" i="10"/>
  <c r="J149" i="10"/>
  <c r="I149" i="10"/>
  <c r="H149" i="10"/>
  <c r="G149" i="10"/>
  <c r="F149" i="10"/>
  <c r="E149" i="10"/>
  <c r="Z148" i="10"/>
  <c r="Q148" i="10"/>
  <c r="T148" i="10" s="1"/>
  <c r="S148" i="10"/>
  <c r="P148" i="10"/>
  <c r="L148" i="10"/>
  <c r="M148" i="10" s="1"/>
  <c r="N148" i="10"/>
  <c r="K148" i="10"/>
  <c r="J148" i="10"/>
  <c r="I148" i="10"/>
  <c r="H148" i="10"/>
  <c r="G148" i="10"/>
  <c r="F148" i="10"/>
  <c r="E148" i="10"/>
  <c r="Z147" i="10"/>
  <c r="Q147" i="10"/>
  <c r="S147" i="10"/>
  <c r="P147" i="10"/>
  <c r="L147" i="10"/>
  <c r="O147" i="10" s="1"/>
  <c r="N147" i="10"/>
  <c r="K147" i="10"/>
  <c r="J147" i="10"/>
  <c r="I147" i="10"/>
  <c r="H147" i="10"/>
  <c r="G147" i="10"/>
  <c r="F147" i="10"/>
  <c r="E147" i="10"/>
  <c r="Z146" i="10"/>
  <c r="Q146" i="10"/>
  <c r="T146" i="10" s="1"/>
  <c r="S146" i="10"/>
  <c r="P146" i="10"/>
  <c r="L146" i="10"/>
  <c r="O146" i="10" s="1"/>
  <c r="N146" i="10"/>
  <c r="K146" i="10"/>
  <c r="J146" i="10"/>
  <c r="I146" i="10"/>
  <c r="H146" i="10"/>
  <c r="G146" i="10"/>
  <c r="F146" i="10"/>
  <c r="E146" i="10"/>
  <c r="Z145" i="10"/>
  <c r="R145" i="10"/>
  <c r="Q145" i="10"/>
  <c r="T145" i="10" s="1"/>
  <c r="S145" i="10"/>
  <c r="P145" i="10"/>
  <c r="L145" i="10"/>
  <c r="M145" i="10" s="1"/>
  <c r="N145" i="10"/>
  <c r="K145" i="10"/>
  <c r="J145" i="10"/>
  <c r="I145" i="10"/>
  <c r="H145" i="10"/>
  <c r="G145" i="10"/>
  <c r="F145" i="10"/>
  <c r="E145" i="10"/>
  <c r="Z144" i="10"/>
  <c r="Q144" i="10"/>
  <c r="R144" i="10" s="1"/>
  <c r="S144" i="10"/>
  <c r="P144" i="10"/>
  <c r="L144" i="10"/>
  <c r="N144" i="10"/>
  <c r="K144" i="10"/>
  <c r="J144" i="10"/>
  <c r="I144" i="10"/>
  <c r="H144" i="10"/>
  <c r="G144" i="10"/>
  <c r="F144" i="10"/>
  <c r="E144" i="10"/>
  <c r="Z143" i="10"/>
  <c r="Q143" i="10"/>
  <c r="R143" i="10" s="1"/>
  <c r="S143" i="10"/>
  <c r="P143" i="10"/>
  <c r="L143" i="10"/>
  <c r="O143" i="10" s="1"/>
  <c r="N143" i="10"/>
  <c r="K143" i="10"/>
  <c r="J143" i="10"/>
  <c r="I143" i="10"/>
  <c r="H143" i="10"/>
  <c r="G143" i="10"/>
  <c r="F143" i="10"/>
  <c r="E143" i="10"/>
  <c r="Z142" i="10"/>
  <c r="Q142" i="10"/>
  <c r="T142" i="10" s="1"/>
  <c r="S142" i="10"/>
  <c r="P142" i="10"/>
  <c r="O142" i="10"/>
  <c r="M142" i="10"/>
  <c r="L142" i="10"/>
  <c r="N142" i="10"/>
  <c r="K142" i="10"/>
  <c r="J142" i="10"/>
  <c r="I142" i="10"/>
  <c r="H142" i="10"/>
  <c r="G142" i="10"/>
  <c r="F142" i="10"/>
  <c r="E142" i="10"/>
  <c r="Z141" i="10"/>
  <c r="Q141" i="10"/>
  <c r="T141" i="10" s="1"/>
  <c r="S141" i="10"/>
  <c r="P141" i="10"/>
  <c r="O141" i="10"/>
  <c r="M141" i="10"/>
  <c r="L141" i="10"/>
  <c r="N141" i="10"/>
  <c r="K141" i="10"/>
  <c r="J141" i="10"/>
  <c r="I141" i="10"/>
  <c r="H141" i="10"/>
  <c r="G141" i="10"/>
  <c r="F141" i="10"/>
  <c r="E141" i="10"/>
  <c r="Z140" i="10"/>
  <c r="Q140" i="10"/>
  <c r="T140" i="10" s="1"/>
  <c r="S140" i="10"/>
  <c r="P140" i="10"/>
  <c r="O140" i="10"/>
  <c r="L140" i="10"/>
  <c r="M140" i="10" s="1"/>
  <c r="N140" i="10"/>
  <c r="K140" i="10"/>
  <c r="J140" i="10"/>
  <c r="I140" i="10"/>
  <c r="H140" i="10"/>
  <c r="G140" i="10"/>
  <c r="F140" i="10"/>
  <c r="E140" i="10"/>
  <c r="Z139" i="10"/>
  <c r="Q139" i="10"/>
  <c r="S139" i="10"/>
  <c r="P139" i="10"/>
  <c r="L139" i="10"/>
  <c r="O139" i="10" s="1"/>
  <c r="N139" i="10"/>
  <c r="K139" i="10"/>
  <c r="J139" i="10"/>
  <c r="I139" i="10"/>
  <c r="H139" i="10"/>
  <c r="G139" i="10"/>
  <c r="F139" i="10"/>
  <c r="E139" i="10"/>
  <c r="Z138" i="10"/>
  <c r="R138" i="10"/>
  <c r="Q138" i="10"/>
  <c r="T138" i="10" s="1"/>
  <c r="S138" i="10"/>
  <c r="P138" i="10"/>
  <c r="L138" i="10"/>
  <c r="O138" i="10" s="1"/>
  <c r="N138" i="10"/>
  <c r="K138" i="10"/>
  <c r="J138" i="10"/>
  <c r="I138" i="10"/>
  <c r="H138" i="10"/>
  <c r="G138" i="10"/>
  <c r="F138" i="10"/>
  <c r="E138" i="10"/>
  <c r="Z137" i="10"/>
  <c r="R137" i="10"/>
  <c r="Q137" i="10"/>
  <c r="T137" i="10" s="1"/>
  <c r="S137" i="10"/>
  <c r="P137" i="10"/>
  <c r="L137" i="10"/>
  <c r="O137" i="10" s="1"/>
  <c r="N137" i="10"/>
  <c r="K137" i="10"/>
  <c r="J137" i="10"/>
  <c r="I137" i="10"/>
  <c r="H137" i="10"/>
  <c r="G137" i="10"/>
  <c r="F137" i="10"/>
  <c r="E137" i="10"/>
  <c r="Z136" i="10"/>
  <c r="Q136" i="10"/>
  <c r="R136" i="10" s="1"/>
  <c r="S136" i="10"/>
  <c r="P136" i="10"/>
  <c r="L136" i="10"/>
  <c r="N136" i="10"/>
  <c r="K136" i="10"/>
  <c r="J136" i="10"/>
  <c r="I136" i="10"/>
  <c r="H136" i="10"/>
  <c r="G136" i="10"/>
  <c r="F136" i="10"/>
  <c r="E136" i="10"/>
  <c r="Z135" i="10"/>
  <c r="Q135" i="10"/>
  <c r="R135" i="10" s="1"/>
  <c r="S135" i="10"/>
  <c r="P135" i="10"/>
  <c r="M135" i="10"/>
  <c r="L135" i="10"/>
  <c r="O135" i="10" s="1"/>
  <c r="N135" i="10"/>
  <c r="K135" i="10"/>
  <c r="J135" i="10"/>
  <c r="I135" i="10"/>
  <c r="H135" i="10"/>
  <c r="G135" i="10"/>
  <c r="F135" i="10"/>
  <c r="E135" i="10"/>
  <c r="Z134" i="10"/>
  <c r="Q134" i="10"/>
  <c r="T134" i="10" s="1"/>
  <c r="S134" i="10"/>
  <c r="P134" i="10"/>
  <c r="L134" i="10"/>
  <c r="O134" i="10" s="1"/>
  <c r="N134" i="10"/>
  <c r="K134" i="10"/>
  <c r="J134" i="10"/>
  <c r="I134" i="10"/>
  <c r="H134" i="10"/>
  <c r="G134" i="10"/>
  <c r="F134" i="10"/>
  <c r="E134" i="10"/>
  <c r="Z133" i="10"/>
  <c r="Q133" i="10"/>
  <c r="T133" i="10" s="1"/>
  <c r="S133" i="10"/>
  <c r="P133" i="10"/>
  <c r="L133" i="10"/>
  <c r="O133" i="10" s="1"/>
  <c r="N133" i="10"/>
  <c r="K133" i="10"/>
  <c r="J133" i="10"/>
  <c r="I133" i="10"/>
  <c r="H133" i="10"/>
  <c r="G133" i="10"/>
  <c r="F133" i="10"/>
  <c r="E133" i="10"/>
  <c r="Z132" i="10"/>
  <c r="R132" i="10"/>
  <c r="Q132" i="10"/>
  <c r="T132" i="10" s="1"/>
  <c r="S132" i="10"/>
  <c r="P132" i="10"/>
  <c r="L132" i="10"/>
  <c r="M132" i="10" s="1"/>
  <c r="N132" i="10"/>
  <c r="K132" i="10"/>
  <c r="J132" i="10"/>
  <c r="I132" i="10"/>
  <c r="H132" i="10"/>
  <c r="G132" i="10"/>
  <c r="F132" i="10"/>
  <c r="E132" i="10"/>
  <c r="Z131" i="10"/>
  <c r="Q131" i="10"/>
  <c r="S131" i="10"/>
  <c r="P131" i="10"/>
  <c r="L131" i="10"/>
  <c r="O131" i="10" s="1"/>
  <c r="N131" i="10"/>
  <c r="K131" i="10"/>
  <c r="J131" i="10"/>
  <c r="I131" i="10"/>
  <c r="H131" i="10"/>
  <c r="G131" i="10"/>
  <c r="F131" i="10"/>
  <c r="E131" i="10"/>
  <c r="Z130" i="10"/>
  <c r="Q130" i="10"/>
  <c r="T130" i="10" s="1"/>
  <c r="S130" i="10"/>
  <c r="P130" i="10"/>
  <c r="M130" i="10"/>
  <c r="L130" i="10"/>
  <c r="O130" i="10" s="1"/>
  <c r="N130" i="10"/>
  <c r="K130" i="10"/>
  <c r="J130" i="10"/>
  <c r="I130" i="10"/>
  <c r="H130" i="10"/>
  <c r="G130" i="10"/>
  <c r="F130" i="10"/>
  <c r="E130" i="10"/>
  <c r="Z129" i="10"/>
  <c r="Q129" i="10"/>
  <c r="T129" i="10" s="1"/>
  <c r="S129" i="10"/>
  <c r="P129" i="10"/>
  <c r="L129" i="10"/>
  <c r="M129" i="10" s="1"/>
  <c r="N129" i="10"/>
  <c r="K129" i="10"/>
  <c r="J129" i="10"/>
  <c r="I129" i="10"/>
  <c r="H129" i="10"/>
  <c r="G129" i="10"/>
  <c r="F129" i="10"/>
  <c r="E129" i="10"/>
  <c r="Z128" i="10"/>
  <c r="T128" i="10"/>
  <c r="Q128" i="10"/>
  <c r="R128" i="10" s="1"/>
  <c r="S128" i="10"/>
  <c r="P128" i="10"/>
  <c r="L128" i="10"/>
  <c r="N128" i="10"/>
  <c r="K128" i="10"/>
  <c r="J128" i="10"/>
  <c r="I128" i="10"/>
  <c r="H128" i="10"/>
  <c r="G128" i="10"/>
  <c r="F128" i="10"/>
  <c r="E128" i="10"/>
  <c r="Z127" i="10"/>
  <c r="Q127" i="10"/>
  <c r="R127" i="10" s="1"/>
  <c r="S127" i="10"/>
  <c r="P127" i="10"/>
  <c r="L127" i="10"/>
  <c r="O127" i="10" s="1"/>
  <c r="N127" i="10"/>
  <c r="K127" i="10"/>
  <c r="J127" i="10"/>
  <c r="I127" i="10"/>
  <c r="H127" i="10"/>
  <c r="G127" i="10"/>
  <c r="F127" i="10"/>
  <c r="E127" i="10"/>
  <c r="Z126" i="10"/>
  <c r="Q126" i="10"/>
  <c r="T126" i="10" s="1"/>
  <c r="S126" i="10"/>
  <c r="P126" i="10"/>
  <c r="L126" i="10"/>
  <c r="O126" i="10" s="1"/>
  <c r="N126" i="10"/>
  <c r="K126" i="10"/>
  <c r="J126" i="10"/>
  <c r="I126" i="10"/>
  <c r="H126" i="10"/>
  <c r="G126" i="10"/>
  <c r="F126" i="10"/>
  <c r="E126" i="10"/>
  <c r="Z125" i="10"/>
  <c r="Q125" i="10"/>
  <c r="T125" i="10" s="1"/>
  <c r="S125" i="10"/>
  <c r="P125" i="10"/>
  <c r="L125" i="10"/>
  <c r="O125" i="10" s="1"/>
  <c r="N125" i="10"/>
  <c r="K125" i="10"/>
  <c r="J125" i="10"/>
  <c r="I125" i="10"/>
  <c r="H125" i="10"/>
  <c r="G125" i="10"/>
  <c r="F125" i="10"/>
  <c r="E125" i="10"/>
  <c r="Z124" i="10"/>
  <c r="Q124" i="10"/>
  <c r="T124" i="10" s="1"/>
  <c r="S124" i="10"/>
  <c r="P124" i="10"/>
  <c r="L124" i="10"/>
  <c r="M124" i="10" s="1"/>
  <c r="N124" i="10"/>
  <c r="K124" i="10"/>
  <c r="J124" i="10"/>
  <c r="I124" i="10"/>
  <c r="H124" i="10"/>
  <c r="G124" i="10"/>
  <c r="F124" i="10"/>
  <c r="E124" i="10"/>
  <c r="Z123" i="10"/>
  <c r="Q123" i="10"/>
  <c r="S123" i="10"/>
  <c r="P123" i="10"/>
  <c r="L123" i="10"/>
  <c r="O123" i="10" s="1"/>
  <c r="N123" i="10"/>
  <c r="K123" i="10"/>
  <c r="J123" i="10"/>
  <c r="I123" i="10"/>
  <c r="H123" i="10"/>
  <c r="G123" i="10"/>
  <c r="F123" i="10"/>
  <c r="E123" i="10"/>
  <c r="Z122" i="10"/>
  <c r="Q122" i="10"/>
  <c r="T122" i="10" s="1"/>
  <c r="S122" i="10"/>
  <c r="P122" i="10"/>
  <c r="L122" i="10"/>
  <c r="O122" i="10" s="1"/>
  <c r="N122" i="10"/>
  <c r="K122" i="10"/>
  <c r="J122" i="10"/>
  <c r="I122" i="10"/>
  <c r="H122" i="10"/>
  <c r="G122" i="10"/>
  <c r="F122" i="10"/>
  <c r="E122" i="10"/>
  <c r="Z121" i="10"/>
  <c r="Q121" i="10"/>
  <c r="T121" i="10" s="1"/>
  <c r="S121" i="10"/>
  <c r="P121" i="10"/>
  <c r="O121" i="10"/>
  <c r="M121" i="10"/>
  <c r="L121" i="10"/>
  <c r="N121" i="10"/>
  <c r="K121" i="10"/>
  <c r="J121" i="10"/>
  <c r="I121" i="10"/>
  <c r="H121" i="10"/>
  <c r="G121" i="10"/>
  <c r="F121" i="10"/>
  <c r="E121" i="10"/>
  <c r="Z120" i="10"/>
  <c r="Q120" i="10"/>
  <c r="T120" i="10" s="1"/>
  <c r="S120" i="10"/>
  <c r="P120" i="10"/>
  <c r="L120" i="10"/>
  <c r="N120" i="10"/>
  <c r="K120" i="10"/>
  <c r="J120" i="10"/>
  <c r="I120" i="10"/>
  <c r="H120" i="10"/>
  <c r="G120" i="10"/>
  <c r="F120" i="10"/>
  <c r="E120" i="10"/>
  <c r="Z119" i="10"/>
  <c r="Q119" i="10"/>
  <c r="T119" i="10" s="1"/>
  <c r="S119" i="10"/>
  <c r="P119" i="10"/>
  <c r="L119" i="10"/>
  <c r="O119" i="10" s="1"/>
  <c r="N119" i="10"/>
  <c r="K119" i="10"/>
  <c r="J119" i="10"/>
  <c r="I119" i="10"/>
  <c r="H119" i="10"/>
  <c r="G119" i="10"/>
  <c r="F119" i="10"/>
  <c r="E119" i="10"/>
  <c r="Z118" i="10"/>
  <c r="Q118" i="10"/>
  <c r="T118" i="10" s="1"/>
  <c r="S118" i="10"/>
  <c r="P118" i="10"/>
  <c r="L118" i="10"/>
  <c r="M118" i="10" s="1"/>
  <c r="N118" i="10"/>
  <c r="K118" i="10"/>
  <c r="J118" i="10"/>
  <c r="I118" i="10"/>
  <c r="H118" i="10"/>
  <c r="G118" i="10"/>
  <c r="F118" i="10"/>
  <c r="E118" i="10"/>
  <c r="Z117" i="10"/>
  <c r="Q117" i="10"/>
  <c r="T117" i="10" s="1"/>
  <c r="S117" i="10"/>
  <c r="P117" i="10"/>
  <c r="L117" i="10"/>
  <c r="M117" i="10" s="1"/>
  <c r="N117" i="10"/>
  <c r="K117" i="10"/>
  <c r="J117" i="10"/>
  <c r="I117" i="10"/>
  <c r="H117" i="10"/>
  <c r="G117" i="10"/>
  <c r="F117" i="10"/>
  <c r="E117" i="10"/>
  <c r="Z116" i="10"/>
  <c r="T116" i="10"/>
  <c r="Q116" i="10"/>
  <c r="R116" i="10" s="1"/>
  <c r="S116" i="10"/>
  <c r="P116" i="10"/>
  <c r="L116" i="10"/>
  <c r="O116" i="10" s="1"/>
  <c r="N116" i="10"/>
  <c r="K116" i="10"/>
  <c r="J116" i="10"/>
  <c r="I116" i="10"/>
  <c r="H116" i="10"/>
  <c r="G116" i="10"/>
  <c r="F116" i="10"/>
  <c r="E116" i="10"/>
  <c r="Z115" i="10"/>
  <c r="S115" i="10"/>
  <c r="P115" i="10"/>
  <c r="N115" i="10"/>
  <c r="K115" i="10"/>
  <c r="I115" i="10"/>
  <c r="T115" i="10" s="1"/>
  <c r="H115" i="10"/>
  <c r="G115" i="10"/>
  <c r="F115" i="10"/>
  <c r="E115" i="10"/>
  <c r="D115" i="10"/>
  <c r="A115" i="10"/>
  <c r="Z114" i="10"/>
  <c r="Q114" i="10"/>
  <c r="S114" i="10"/>
  <c r="P114" i="10"/>
  <c r="L114" i="10"/>
  <c r="O114" i="10" s="1"/>
  <c r="N114" i="10"/>
  <c r="K114" i="10"/>
  <c r="J114" i="10"/>
  <c r="I114" i="10"/>
  <c r="H114" i="10"/>
  <c r="G114" i="10"/>
  <c r="F114" i="10"/>
  <c r="E114" i="10"/>
  <c r="Z113" i="10"/>
  <c r="Q113" i="10"/>
  <c r="T113" i="10" s="1"/>
  <c r="S113" i="10"/>
  <c r="P113" i="10"/>
  <c r="M113" i="10"/>
  <c r="L113" i="10"/>
  <c r="O113" i="10" s="1"/>
  <c r="N113" i="10"/>
  <c r="K113" i="10"/>
  <c r="J113" i="10"/>
  <c r="I113" i="10"/>
  <c r="H113" i="10"/>
  <c r="G113" i="10"/>
  <c r="F113" i="10"/>
  <c r="E113" i="10"/>
  <c r="Z112" i="10"/>
  <c r="Q112" i="10"/>
  <c r="T112" i="10" s="1"/>
  <c r="S112" i="10"/>
  <c r="P112" i="10"/>
  <c r="L112" i="10"/>
  <c r="M112" i="10" s="1"/>
  <c r="N112" i="10"/>
  <c r="K112" i="10"/>
  <c r="J112" i="10"/>
  <c r="I112" i="10"/>
  <c r="H112" i="10"/>
  <c r="G112" i="10"/>
  <c r="F112" i="10"/>
  <c r="E112" i="10"/>
  <c r="Z111" i="10"/>
  <c r="Q111" i="10"/>
  <c r="T111" i="10" s="1"/>
  <c r="S111" i="10"/>
  <c r="P111" i="10"/>
  <c r="L111" i="10"/>
  <c r="N111" i="10"/>
  <c r="K111" i="10"/>
  <c r="J111" i="10"/>
  <c r="I111" i="10"/>
  <c r="H111" i="10"/>
  <c r="G111" i="10"/>
  <c r="F111" i="10"/>
  <c r="E111" i="10"/>
  <c r="Z110" i="10"/>
  <c r="Q110" i="10"/>
  <c r="T110" i="10" s="1"/>
  <c r="S110" i="10"/>
  <c r="P110" i="10"/>
  <c r="M110" i="10"/>
  <c r="L110" i="10"/>
  <c r="O110" i="10" s="1"/>
  <c r="N110" i="10"/>
  <c r="K110" i="10"/>
  <c r="J110" i="10"/>
  <c r="I110" i="10"/>
  <c r="H110" i="10"/>
  <c r="G110" i="10"/>
  <c r="F110" i="10"/>
  <c r="E110" i="10"/>
  <c r="Z109" i="10"/>
  <c r="Q109" i="10"/>
  <c r="S109" i="10"/>
  <c r="P109" i="10"/>
  <c r="L109" i="10"/>
  <c r="M109" i="10" s="1"/>
  <c r="N109" i="10"/>
  <c r="K109" i="10"/>
  <c r="J109" i="10"/>
  <c r="I109" i="10"/>
  <c r="H109" i="10"/>
  <c r="G109" i="10"/>
  <c r="F109" i="10"/>
  <c r="E109" i="10"/>
  <c r="Z108" i="10"/>
  <c r="Q108" i="10"/>
  <c r="T108" i="10" s="1"/>
  <c r="S108" i="10"/>
  <c r="P108" i="10"/>
  <c r="L108" i="10"/>
  <c r="M108" i="10" s="1"/>
  <c r="N108" i="10"/>
  <c r="K108" i="10"/>
  <c r="J108" i="10"/>
  <c r="I108" i="10"/>
  <c r="H108" i="10"/>
  <c r="G108" i="10"/>
  <c r="F108" i="10"/>
  <c r="E108" i="10"/>
  <c r="Z107" i="10"/>
  <c r="Q107" i="10"/>
  <c r="T107" i="10" s="1"/>
  <c r="S107" i="10"/>
  <c r="P107" i="10"/>
  <c r="L107" i="10"/>
  <c r="O107" i="10" s="1"/>
  <c r="N107" i="10"/>
  <c r="K107" i="10"/>
  <c r="J107" i="10"/>
  <c r="I107" i="10"/>
  <c r="H107" i="10"/>
  <c r="G107" i="10"/>
  <c r="F107" i="10"/>
  <c r="E107" i="10"/>
  <c r="Z106" i="10"/>
  <c r="Q106" i="10"/>
  <c r="S106" i="10"/>
  <c r="P106" i="10"/>
  <c r="L106" i="10"/>
  <c r="N106" i="10"/>
  <c r="K106" i="10"/>
  <c r="J106" i="10"/>
  <c r="I106" i="10"/>
  <c r="H106" i="10"/>
  <c r="G106" i="10"/>
  <c r="F106" i="10"/>
  <c r="E106" i="10"/>
  <c r="Z105" i="10"/>
  <c r="Q105" i="10"/>
  <c r="T105" i="10" s="1"/>
  <c r="S105" i="10"/>
  <c r="P105" i="10"/>
  <c r="L105" i="10"/>
  <c r="O105" i="10" s="1"/>
  <c r="N105" i="10"/>
  <c r="K105" i="10"/>
  <c r="J105" i="10"/>
  <c r="I105" i="10"/>
  <c r="H105" i="10"/>
  <c r="G105" i="10"/>
  <c r="F105" i="10"/>
  <c r="E105" i="10"/>
  <c r="Z104" i="10"/>
  <c r="Q104" i="10"/>
  <c r="T104" i="10" s="1"/>
  <c r="S104" i="10"/>
  <c r="P104" i="10"/>
  <c r="L104" i="10"/>
  <c r="O104" i="10" s="1"/>
  <c r="N104" i="10"/>
  <c r="K104" i="10"/>
  <c r="J104" i="10"/>
  <c r="I104" i="10"/>
  <c r="H104" i="10"/>
  <c r="G104" i="10"/>
  <c r="F104" i="10"/>
  <c r="E104" i="10"/>
  <c r="Z103" i="10"/>
  <c r="T103" i="10"/>
  <c r="Q103" i="10"/>
  <c r="R103" i="10" s="1"/>
  <c r="S103" i="10"/>
  <c r="P103" i="10"/>
  <c r="L103" i="10"/>
  <c r="N103" i="10"/>
  <c r="K103" i="10"/>
  <c r="J103" i="10"/>
  <c r="I103" i="10"/>
  <c r="H103" i="10"/>
  <c r="G103" i="10"/>
  <c r="F103" i="10"/>
  <c r="E103" i="10"/>
  <c r="Z102" i="10"/>
  <c r="Q102" i="10"/>
  <c r="T102" i="10" s="1"/>
  <c r="S102" i="10"/>
  <c r="P102" i="10"/>
  <c r="L102" i="10"/>
  <c r="O102" i="10" s="1"/>
  <c r="N102" i="10"/>
  <c r="K102" i="10"/>
  <c r="J102" i="10"/>
  <c r="I102" i="10"/>
  <c r="H102" i="10"/>
  <c r="G102" i="10"/>
  <c r="F102" i="10"/>
  <c r="E102" i="10"/>
  <c r="Z101" i="10"/>
  <c r="Q101" i="10"/>
  <c r="S101" i="10"/>
  <c r="P101" i="10"/>
  <c r="L101" i="10"/>
  <c r="O101" i="10" s="1"/>
  <c r="N101" i="10"/>
  <c r="K101" i="10"/>
  <c r="J101" i="10"/>
  <c r="I101" i="10"/>
  <c r="H101" i="10"/>
  <c r="G101" i="10"/>
  <c r="F101" i="10"/>
  <c r="E101" i="10"/>
  <c r="Z100" i="10"/>
  <c r="S100" i="10"/>
  <c r="T100" i="10" s="1"/>
  <c r="P100" i="10"/>
  <c r="N100" i="10"/>
  <c r="O100" i="10" s="1"/>
  <c r="K100" i="10"/>
  <c r="M100" i="10" s="1"/>
  <c r="I100" i="10"/>
  <c r="H100" i="10"/>
  <c r="G100" i="10"/>
  <c r="F100" i="10"/>
  <c r="E100" i="10"/>
  <c r="D100" i="10"/>
  <c r="A100" i="10"/>
  <c r="Z99" i="10"/>
  <c r="S99" i="10"/>
  <c r="P99" i="10"/>
  <c r="N99" i="10"/>
  <c r="K99" i="10"/>
  <c r="I99" i="10"/>
  <c r="M99" i="10" s="1"/>
  <c r="H99" i="10"/>
  <c r="G99" i="10"/>
  <c r="F99" i="10"/>
  <c r="E99" i="10"/>
  <c r="D99" i="10"/>
  <c r="A99" i="10"/>
  <c r="Z98" i="10"/>
  <c r="Q98" i="10"/>
  <c r="T98" i="10" s="1"/>
  <c r="S98" i="10"/>
  <c r="P98" i="10"/>
  <c r="L98" i="10"/>
  <c r="O98" i="10" s="1"/>
  <c r="N98" i="10"/>
  <c r="K98" i="10"/>
  <c r="J98" i="10"/>
  <c r="I98" i="10"/>
  <c r="H98" i="10"/>
  <c r="G98" i="10"/>
  <c r="F98" i="10"/>
  <c r="E98" i="10"/>
  <c r="Z97" i="10"/>
  <c r="Q97" i="10"/>
  <c r="R97" i="10" s="1"/>
  <c r="S97" i="10"/>
  <c r="P97" i="10"/>
  <c r="M97" i="10"/>
  <c r="L97" i="10"/>
  <c r="O97" i="10" s="1"/>
  <c r="N97" i="10"/>
  <c r="K97" i="10"/>
  <c r="J97" i="10"/>
  <c r="I97" i="10"/>
  <c r="H97" i="10"/>
  <c r="G97" i="10"/>
  <c r="F97" i="10"/>
  <c r="E97" i="10"/>
  <c r="Z96" i="10"/>
  <c r="Q96" i="10"/>
  <c r="T96" i="10" s="1"/>
  <c r="S96" i="10"/>
  <c r="P96" i="10"/>
  <c r="L96" i="10"/>
  <c r="N96" i="10"/>
  <c r="K96" i="10"/>
  <c r="J96" i="10"/>
  <c r="I96" i="10"/>
  <c r="H96" i="10"/>
  <c r="G96" i="10"/>
  <c r="F96" i="10"/>
  <c r="E96" i="10"/>
  <c r="Z95" i="10"/>
  <c r="Q95" i="10"/>
  <c r="R95" i="10" s="1"/>
  <c r="S95" i="10"/>
  <c r="P95" i="10"/>
  <c r="L95" i="10"/>
  <c r="O95" i="10" s="1"/>
  <c r="N95" i="10"/>
  <c r="K95" i="10"/>
  <c r="J95" i="10"/>
  <c r="I95" i="10"/>
  <c r="H95" i="10"/>
  <c r="G95" i="10"/>
  <c r="F95" i="10"/>
  <c r="E95" i="10"/>
  <c r="Z94" i="10"/>
  <c r="Q94" i="10"/>
  <c r="R94" i="10" s="1"/>
  <c r="S94" i="10"/>
  <c r="P94" i="10"/>
  <c r="L94" i="10"/>
  <c r="M94" i="10" s="1"/>
  <c r="N94" i="10"/>
  <c r="K94" i="10"/>
  <c r="J94" i="10"/>
  <c r="I94" i="10"/>
  <c r="H94" i="10"/>
  <c r="G94" i="10"/>
  <c r="F94" i="10"/>
  <c r="E94" i="10"/>
  <c r="Z93" i="10"/>
  <c r="Q93" i="10"/>
  <c r="T93" i="10" s="1"/>
  <c r="S93" i="10"/>
  <c r="P93" i="10"/>
  <c r="L93" i="10"/>
  <c r="O93" i="10" s="1"/>
  <c r="N93" i="10"/>
  <c r="K93" i="10"/>
  <c r="J93" i="10"/>
  <c r="I93" i="10"/>
  <c r="H93" i="10"/>
  <c r="G93" i="10"/>
  <c r="F93" i="10"/>
  <c r="E93" i="10"/>
  <c r="Z92" i="10"/>
  <c r="Q92" i="10"/>
  <c r="T92" i="10" s="1"/>
  <c r="S92" i="10"/>
  <c r="P92" i="10"/>
  <c r="L92" i="10"/>
  <c r="O92" i="10" s="1"/>
  <c r="N92" i="10"/>
  <c r="K92" i="10"/>
  <c r="J92" i="10"/>
  <c r="I92" i="10"/>
  <c r="H92" i="10"/>
  <c r="G92" i="10"/>
  <c r="F92" i="10"/>
  <c r="E92" i="10"/>
  <c r="Z91" i="10"/>
  <c r="Q91" i="10"/>
  <c r="S91" i="10"/>
  <c r="P91" i="10"/>
  <c r="L91" i="10"/>
  <c r="O91" i="10" s="1"/>
  <c r="N91" i="10"/>
  <c r="K91" i="10"/>
  <c r="J91" i="10"/>
  <c r="I91" i="10"/>
  <c r="H91" i="10"/>
  <c r="G91" i="10"/>
  <c r="F91" i="10"/>
  <c r="E91" i="10"/>
  <c r="Z90" i="10"/>
  <c r="R90" i="10"/>
  <c r="Q90" i="10"/>
  <c r="T90" i="10" s="1"/>
  <c r="S90" i="10"/>
  <c r="P90" i="10"/>
  <c r="L90" i="10"/>
  <c r="O90" i="10" s="1"/>
  <c r="N90" i="10"/>
  <c r="K90" i="10"/>
  <c r="J90" i="10"/>
  <c r="I90" i="10"/>
  <c r="H90" i="10"/>
  <c r="G90" i="10"/>
  <c r="F90" i="10"/>
  <c r="E90" i="10"/>
  <c r="Z89" i="10"/>
  <c r="Q89" i="10"/>
  <c r="R89" i="10" s="1"/>
  <c r="S89" i="10"/>
  <c r="P89" i="10"/>
  <c r="L89" i="10"/>
  <c r="O89" i="10" s="1"/>
  <c r="N89" i="10"/>
  <c r="K89" i="10"/>
  <c r="J89" i="10"/>
  <c r="I89" i="10"/>
  <c r="H89" i="10"/>
  <c r="G89" i="10"/>
  <c r="F89" i="10"/>
  <c r="E89" i="10"/>
  <c r="Z88" i="10"/>
  <c r="R88" i="10"/>
  <c r="Q88" i="10"/>
  <c r="T88" i="10" s="1"/>
  <c r="S88" i="10"/>
  <c r="P88" i="10"/>
  <c r="L88" i="10"/>
  <c r="N88" i="10"/>
  <c r="K88" i="10"/>
  <c r="J88" i="10"/>
  <c r="I88" i="10"/>
  <c r="H88" i="10"/>
  <c r="G88" i="10"/>
  <c r="F88" i="10"/>
  <c r="E88" i="10"/>
  <c r="Z87" i="10"/>
  <c r="Q87" i="10"/>
  <c r="T87" i="10" s="1"/>
  <c r="S87" i="10"/>
  <c r="P87" i="10"/>
  <c r="L87" i="10"/>
  <c r="O87" i="10" s="1"/>
  <c r="N87" i="10"/>
  <c r="K87" i="10"/>
  <c r="J87" i="10"/>
  <c r="I87" i="10"/>
  <c r="H87" i="10"/>
  <c r="G87" i="10"/>
  <c r="F87" i="10"/>
  <c r="E87" i="10"/>
  <c r="Z86" i="10"/>
  <c r="Q86" i="10"/>
  <c r="T86" i="10" s="1"/>
  <c r="S86" i="10"/>
  <c r="P86" i="10"/>
  <c r="L86" i="10"/>
  <c r="M86" i="10" s="1"/>
  <c r="N86" i="10"/>
  <c r="K86" i="10"/>
  <c r="J86" i="10"/>
  <c r="I86" i="10"/>
  <c r="H86" i="10"/>
  <c r="G86" i="10"/>
  <c r="F86" i="10"/>
  <c r="E86" i="10"/>
  <c r="Z85" i="10"/>
  <c r="Q85" i="10"/>
  <c r="T85" i="10" s="1"/>
  <c r="S85" i="10"/>
  <c r="P85" i="10"/>
  <c r="L85" i="10"/>
  <c r="O85" i="10" s="1"/>
  <c r="N85" i="10"/>
  <c r="K85" i="10"/>
  <c r="J85" i="10"/>
  <c r="I85" i="10"/>
  <c r="H85" i="10"/>
  <c r="G85" i="10"/>
  <c r="F85" i="10"/>
  <c r="E85" i="10"/>
  <c r="Z84" i="10"/>
  <c r="T84" i="10"/>
  <c r="R84" i="10"/>
  <c r="Q84" i="10"/>
  <c r="S84" i="10"/>
  <c r="P84" i="10"/>
  <c r="O84" i="10"/>
  <c r="L84" i="10"/>
  <c r="M84" i="10" s="1"/>
  <c r="N84" i="10"/>
  <c r="K84" i="10"/>
  <c r="J84" i="10"/>
  <c r="I84" i="10"/>
  <c r="H84" i="10"/>
  <c r="G84" i="10"/>
  <c r="F84" i="10"/>
  <c r="E84" i="10"/>
  <c r="Z83" i="10"/>
  <c r="Q83" i="10"/>
  <c r="S83" i="10"/>
  <c r="P83" i="10"/>
  <c r="L83" i="10"/>
  <c r="O83" i="10" s="1"/>
  <c r="N83" i="10"/>
  <c r="K83" i="10"/>
  <c r="J83" i="10"/>
  <c r="I83" i="10"/>
  <c r="H83" i="10"/>
  <c r="G83" i="10"/>
  <c r="F83" i="10"/>
  <c r="E83" i="10"/>
  <c r="G82" i="10"/>
  <c r="A82" i="10"/>
  <c r="Z81" i="10"/>
  <c r="Q81" i="10"/>
  <c r="T81" i="10" s="1"/>
  <c r="S81" i="10"/>
  <c r="P81" i="10"/>
  <c r="L81" i="10"/>
  <c r="N81" i="10"/>
  <c r="K81" i="10"/>
  <c r="J81" i="10"/>
  <c r="I81" i="10"/>
  <c r="H81" i="10"/>
  <c r="G81" i="10"/>
  <c r="F81" i="10"/>
  <c r="E81" i="10"/>
  <c r="Z80" i="10"/>
  <c r="Q80" i="10"/>
  <c r="R80" i="10" s="1"/>
  <c r="S80" i="10"/>
  <c r="P80" i="10"/>
  <c r="M80" i="10"/>
  <c r="L80" i="10"/>
  <c r="O80" i="10" s="1"/>
  <c r="N80" i="10"/>
  <c r="K80" i="10"/>
  <c r="J80" i="10"/>
  <c r="I80" i="10"/>
  <c r="H80" i="10"/>
  <c r="G80" i="10"/>
  <c r="F80" i="10"/>
  <c r="E80" i="10"/>
  <c r="Z79" i="10"/>
  <c r="Q79" i="10"/>
  <c r="R79" i="10" s="1"/>
  <c r="S79" i="10"/>
  <c r="P79" i="10"/>
  <c r="L79" i="10"/>
  <c r="O79" i="10" s="1"/>
  <c r="N79" i="10"/>
  <c r="K79" i="10"/>
  <c r="J79" i="10"/>
  <c r="I79" i="10"/>
  <c r="H79" i="10"/>
  <c r="G79" i="10"/>
  <c r="F79" i="10"/>
  <c r="E79" i="10"/>
  <c r="Z78" i="10"/>
  <c r="Q78" i="10"/>
  <c r="T78" i="10" s="1"/>
  <c r="S78" i="10"/>
  <c r="P78" i="10"/>
  <c r="L78" i="10"/>
  <c r="O78" i="10" s="1"/>
  <c r="N78" i="10"/>
  <c r="K78" i="10"/>
  <c r="J78" i="10"/>
  <c r="I78" i="10"/>
  <c r="H78" i="10"/>
  <c r="G78" i="10"/>
  <c r="F78" i="10"/>
  <c r="E78" i="10"/>
  <c r="Z77" i="10"/>
  <c r="Q77" i="10"/>
  <c r="T77" i="10" s="1"/>
  <c r="S77" i="10"/>
  <c r="P77" i="10"/>
  <c r="L77" i="10"/>
  <c r="M77" i="10" s="1"/>
  <c r="N77" i="10"/>
  <c r="K77" i="10"/>
  <c r="J77" i="10"/>
  <c r="I77" i="10"/>
  <c r="H77" i="10"/>
  <c r="G77" i="10"/>
  <c r="F77" i="10"/>
  <c r="E77" i="10"/>
  <c r="Z76" i="10"/>
  <c r="Q76" i="10"/>
  <c r="S76" i="10"/>
  <c r="P76" i="10"/>
  <c r="L76" i="10"/>
  <c r="O76" i="10" s="1"/>
  <c r="N76" i="10"/>
  <c r="K76" i="10"/>
  <c r="J76" i="10"/>
  <c r="I76" i="10"/>
  <c r="H76" i="10"/>
  <c r="G76" i="10"/>
  <c r="F76" i="10"/>
  <c r="E76" i="10"/>
  <c r="Z75" i="10"/>
  <c r="R75" i="10"/>
  <c r="Q75" i="10"/>
  <c r="T75" i="10" s="1"/>
  <c r="S75" i="10"/>
  <c r="P75" i="10"/>
  <c r="L75" i="10"/>
  <c r="O75" i="10" s="1"/>
  <c r="N75" i="10"/>
  <c r="K75" i="10"/>
  <c r="J75" i="10"/>
  <c r="I75" i="10"/>
  <c r="H75" i="10"/>
  <c r="G75" i="10"/>
  <c r="F75" i="10"/>
  <c r="E75" i="10"/>
  <c r="Z74" i="10"/>
  <c r="T74" i="10"/>
  <c r="Q74" i="10"/>
  <c r="R74" i="10" s="1"/>
  <c r="S74" i="10"/>
  <c r="P74" i="10"/>
  <c r="L74" i="10"/>
  <c r="O74" i="10" s="1"/>
  <c r="N74" i="10"/>
  <c r="K74" i="10"/>
  <c r="J74" i="10"/>
  <c r="I74" i="10"/>
  <c r="H74" i="10"/>
  <c r="G74" i="10"/>
  <c r="F74" i="10"/>
  <c r="E74" i="10"/>
  <c r="Z73" i="10"/>
  <c r="Q73" i="10"/>
  <c r="T73" i="10" s="1"/>
  <c r="S73" i="10"/>
  <c r="P73" i="10"/>
  <c r="L73" i="10"/>
  <c r="N73" i="10"/>
  <c r="K73" i="10"/>
  <c r="J73" i="10"/>
  <c r="I73" i="10"/>
  <c r="H73" i="10"/>
  <c r="G73" i="10"/>
  <c r="F73" i="10"/>
  <c r="E73" i="10"/>
  <c r="Z72" i="10"/>
  <c r="Q72" i="10"/>
  <c r="R72" i="10" s="1"/>
  <c r="S72" i="10"/>
  <c r="P72" i="10"/>
  <c r="M72" i="10"/>
  <c r="L72" i="10"/>
  <c r="O72" i="10" s="1"/>
  <c r="N72" i="10"/>
  <c r="K72" i="10"/>
  <c r="J72" i="10"/>
  <c r="I72" i="10"/>
  <c r="H72" i="10"/>
  <c r="G72" i="10"/>
  <c r="F72" i="10"/>
  <c r="E72" i="10"/>
  <c r="Z71" i="10"/>
  <c r="Q71" i="10"/>
  <c r="R71" i="10" s="1"/>
  <c r="S71" i="10"/>
  <c r="P71" i="10"/>
  <c r="L71" i="10"/>
  <c r="M71" i="10" s="1"/>
  <c r="N71" i="10"/>
  <c r="K71" i="10"/>
  <c r="J71" i="10"/>
  <c r="I71" i="10"/>
  <c r="H71" i="10"/>
  <c r="G71" i="10"/>
  <c r="F71" i="10"/>
  <c r="E71" i="10"/>
  <c r="Z70" i="10"/>
  <c r="Q70" i="10"/>
  <c r="T70" i="10" s="1"/>
  <c r="S70" i="10"/>
  <c r="P70" i="10"/>
  <c r="L70" i="10"/>
  <c r="M70" i="10" s="1"/>
  <c r="N70" i="10"/>
  <c r="K70" i="10"/>
  <c r="J70" i="10"/>
  <c r="I70" i="10"/>
  <c r="H70" i="10"/>
  <c r="G70" i="10"/>
  <c r="F70" i="10"/>
  <c r="E70" i="10"/>
  <c r="Z69" i="10"/>
  <c r="Q69" i="10"/>
  <c r="T69" i="10" s="1"/>
  <c r="S69" i="10"/>
  <c r="P69" i="10"/>
  <c r="M69" i="10"/>
  <c r="L69" i="10"/>
  <c r="O69" i="10" s="1"/>
  <c r="N69" i="10"/>
  <c r="K69" i="10"/>
  <c r="J69" i="10"/>
  <c r="I69" i="10"/>
  <c r="H69" i="10"/>
  <c r="G69" i="10"/>
  <c r="F69" i="10"/>
  <c r="E69" i="10"/>
  <c r="Z68" i="10"/>
  <c r="Q68" i="10"/>
  <c r="R68" i="10" s="1"/>
  <c r="S68" i="10"/>
  <c r="P68" i="10"/>
  <c r="L68" i="10"/>
  <c r="O68" i="10" s="1"/>
  <c r="N68" i="10"/>
  <c r="K68" i="10"/>
  <c r="J68" i="10"/>
  <c r="I68" i="10"/>
  <c r="H68" i="10"/>
  <c r="G68" i="10"/>
  <c r="F68" i="10"/>
  <c r="E68" i="10"/>
  <c r="Z67" i="10"/>
  <c r="Q67" i="10"/>
  <c r="T67" i="10" s="1"/>
  <c r="S67" i="10"/>
  <c r="P67" i="10"/>
  <c r="L67" i="10"/>
  <c r="M67" i="10" s="1"/>
  <c r="N67" i="10"/>
  <c r="K67" i="10"/>
  <c r="J67" i="10"/>
  <c r="I67" i="10"/>
  <c r="H67" i="10"/>
  <c r="G67" i="10"/>
  <c r="F67" i="10"/>
  <c r="E67" i="10"/>
  <c r="Z66" i="10"/>
  <c r="Q66" i="10"/>
  <c r="T66" i="10" s="1"/>
  <c r="S66" i="10"/>
  <c r="P66" i="10"/>
  <c r="L66" i="10"/>
  <c r="O66" i="10" s="1"/>
  <c r="N66" i="10"/>
  <c r="K66" i="10"/>
  <c r="J66" i="10"/>
  <c r="I66" i="10"/>
  <c r="H66" i="10"/>
  <c r="G66" i="10"/>
  <c r="F66" i="10"/>
  <c r="E66" i="10"/>
  <c r="Z65" i="10"/>
  <c r="Q65" i="10"/>
  <c r="R65" i="10" s="1"/>
  <c r="S65" i="10"/>
  <c r="P65" i="10"/>
  <c r="L65" i="10"/>
  <c r="O65" i="10" s="1"/>
  <c r="N65" i="10"/>
  <c r="K65" i="10"/>
  <c r="J65" i="10"/>
  <c r="I65" i="10"/>
  <c r="H65" i="10"/>
  <c r="G65" i="10"/>
  <c r="F65" i="10"/>
  <c r="E65" i="10"/>
  <c r="Z64" i="10"/>
  <c r="Q64" i="10"/>
  <c r="R64" i="10" s="1"/>
  <c r="S64" i="10"/>
  <c r="P64" i="10"/>
  <c r="L64" i="10"/>
  <c r="O64" i="10" s="1"/>
  <c r="N64" i="10"/>
  <c r="K64" i="10"/>
  <c r="J64" i="10"/>
  <c r="I64" i="10"/>
  <c r="H64" i="10"/>
  <c r="G64" i="10"/>
  <c r="F64" i="10"/>
  <c r="E64" i="10"/>
  <c r="G63" i="10"/>
  <c r="A63" i="10"/>
  <c r="Z62" i="10"/>
  <c r="Q62" i="10"/>
  <c r="T62" i="10" s="1"/>
  <c r="S62" i="10"/>
  <c r="P62" i="10"/>
  <c r="L62" i="10"/>
  <c r="M62" i="10" s="1"/>
  <c r="N62" i="10"/>
  <c r="K62" i="10"/>
  <c r="J62" i="10"/>
  <c r="I62" i="10"/>
  <c r="H62" i="10"/>
  <c r="G62" i="10"/>
  <c r="F62" i="10"/>
  <c r="E62" i="10"/>
  <c r="Z61" i="10"/>
  <c r="Q61" i="10"/>
  <c r="T61" i="10" s="1"/>
  <c r="S61" i="10"/>
  <c r="P61" i="10"/>
  <c r="L61" i="10"/>
  <c r="O61" i="10" s="1"/>
  <c r="N61" i="10"/>
  <c r="K61" i="10"/>
  <c r="J61" i="10"/>
  <c r="I61" i="10"/>
  <c r="H61" i="10"/>
  <c r="G61" i="10"/>
  <c r="F61" i="10"/>
  <c r="E61" i="10"/>
  <c r="Z60" i="10"/>
  <c r="Q60" i="10"/>
  <c r="T60" i="10" s="1"/>
  <c r="S60" i="10"/>
  <c r="P60" i="10"/>
  <c r="L60" i="10"/>
  <c r="M60" i="10" s="1"/>
  <c r="N60" i="10"/>
  <c r="K60" i="10"/>
  <c r="J60" i="10"/>
  <c r="I60" i="10"/>
  <c r="H60" i="10"/>
  <c r="G60" i="10"/>
  <c r="F60" i="10"/>
  <c r="E60" i="10"/>
  <c r="Z59" i="10"/>
  <c r="R59" i="10"/>
  <c r="Q59" i="10"/>
  <c r="T59" i="10" s="1"/>
  <c r="S59" i="10"/>
  <c r="P59" i="10"/>
  <c r="L59" i="10"/>
  <c r="O59" i="10" s="1"/>
  <c r="N59" i="10"/>
  <c r="K59" i="10"/>
  <c r="J59" i="10"/>
  <c r="I59" i="10"/>
  <c r="H59" i="10"/>
  <c r="G59" i="10"/>
  <c r="F59" i="10"/>
  <c r="E59" i="10"/>
  <c r="Z58" i="10"/>
  <c r="R58" i="10"/>
  <c r="Q58" i="10"/>
  <c r="T58" i="10" s="1"/>
  <c r="S58" i="10"/>
  <c r="P58" i="10"/>
  <c r="L58" i="10"/>
  <c r="O58" i="10" s="1"/>
  <c r="N58" i="10"/>
  <c r="K58" i="10"/>
  <c r="J58" i="10"/>
  <c r="I58" i="10"/>
  <c r="H58" i="10"/>
  <c r="G58" i="10"/>
  <c r="F58" i="10"/>
  <c r="E58" i="10"/>
  <c r="Z57" i="10"/>
  <c r="Q57" i="10"/>
  <c r="R57" i="10" s="1"/>
  <c r="S57" i="10"/>
  <c r="P57" i="10"/>
  <c r="L57" i="10"/>
  <c r="O57" i="10" s="1"/>
  <c r="N57" i="10"/>
  <c r="K57" i="10"/>
  <c r="J57" i="10"/>
  <c r="I57" i="10"/>
  <c r="H57" i="10"/>
  <c r="G57" i="10"/>
  <c r="F57" i="10"/>
  <c r="E57" i="10"/>
  <c r="Z56" i="10"/>
  <c r="Q56" i="10"/>
  <c r="T56" i="10" s="1"/>
  <c r="S56" i="10"/>
  <c r="P56" i="10"/>
  <c r="M56" i="10"/>
  <c r="L56" i="10"/>
  <c r="O56" i="10" s="1"/>
  <c r="N56" i="10"/>
  <c r="K56" i="10"/>
  <c r="J56" i="10"/>
  <c r="I56" i="10"/>
  <c r="H56" i="10"/>
  <c r="G56" i="10"/>
  <c r="F56" i="10"/>
  <c r="E56" i="10"/>
  <c r="Z55" i="10"/>
  <c r="Q55" i="10"/>
  <c r="R55" i="10" s="1"/>
  <c r="S55" i="10"/>
  <c r="P55" i="10"/>
  <c r="O55" i="10"/>
  <c r="L55" i="10"/>
  <c r="M55" i="10" s="1"/>
  <c r="N55" i="10"/>
  <c r="K55" i="10"/>
  <c r="J55" i="10"/>
  <c r="I55" i="10"/>
  <c r="H55" i="10"/>
  <c r="G55" i="10"/>
  <c r="F55" i="10"/>
  <c r="E55" i="10"/>
  <c r="Z54" i="10"/>
  <c r="Q54" i="10"/>
  <c r="T54" i="10" s="1"/>
  <c r="S54" i="10"/>
  <c r="P54" i="10"/>
  <c r="L54" i="10"/>
  <c r="M54" i="10" s="1"/>
  <c r="N54" i="10"/>
  <c r="K54" i="10"/>
  <c r="J54" i="10"/>
  <c r="I54" i="10"/>
  <c r="H54" i="10"/>
  <c r="G54" i="10"/>
  <c r="F54" i="10"/>
  <c r="E54" i="10"/>
  <c r="Z53" i="10"/>
  <c r="Q53" i="10"/>
  <c r="R53" i="10" s="1"/>
  <c r="S53" i="10"/>
  <c r="P53" i="10"/>
  <c r="L53" i="10"/>
  <c r="O53" i="10" s="1"/>
  <c r="N53" i="10"/>
  <c r="K53" i="10"/>
  <c r="J53" i="10"/>
  <c r="I53" i="10"/>
  <c r="H53" i="10"/>
  <c r="G53" i="10"/>
  <c r="F53" i="10"/>
  <c r="E53" i="10"/>
  <c r="Z52" i="10"/>
  <c r="Q52" i="10"/>
  <c r="T52" i="10" s="1"/>
  <c r="S52" i="10"/>
  <c r="P52" i="10"/>
  <c r="L52" i="10"/>
  <c r="M52" i="10" s="1"/>
  <c r="N52" i="10"/>
  <c r="K52" i="10"/>
  <c r="J52" i="10"/>
  <c r="I52" i="10"/>
  <c r="H52" i="10"/>
  <c r="G52" i="10"/>
  <c r="F52" i="10"/>
  <c r="E52" i="10"/>
  <c r="Z51" i="10"/>
  <c r="S51" i="10"/>
  <c r="P51" i="10"/>
  <c r="N51" i="10"/>
  <c r="O51" i="10" s="1"/>
  <c r="K51" i="10"/>
  <c r="I51" i="10"/>
  <c r="R51" i="10" s="1"/>
  <c r="H51" i="10"/>
  <c r="G51" i="10"/>
  <c r="F51" i="10"/>
  <c r="E51" i="10"/>
  <c r="D51" i="10"/>
  <c r="A51" i="10"/>
  <c r="Z50" i="10"/>
  <c r="R50" i="10"/>
  <c r="Q50" i="10"/>
  <c r="T50" i="10" s="1"/>
  <c r="S50" i="10"/>
  <c r="P50" i="10"/>
  <c r="L50" i="10"/>
  <c r="O50" i="10" s="1"/>
  <c r="N50" i="10"/>
  <c r="K50" i="10"/>
  <c r="J50" i="10"/>
  <c r="I50" i="10"/>
  <c r="H50" i="10"/>
  <c r="G50" i="10"/>
  <c r="F50" i="10"/>
  <c r="E50" i="10"/>
  <c r="Z49" i="10"/>
  <c r="Q49" i="10"/>
  <c r="T49" i="10" s="1"/>
  <c r="S49" i="10"/>
  <c r="P49" i="10"/>
  <c r="O49" i="10"/>
  <c r="M49" i="10"/>
  <c r="L49" i="10"/>
  <c r="N49" i="10"/>
  <c r="K49" i="10"/>
  <c r="J49" i="10"/>
  <c r="I49" i="10"/>
  <c r="H49" i="10"/>
  <c r="G49" i="10"/>
  <c r="F49" i="10"/>
  <c r="E49" i="10"/>
  <c r="Z48" i="10"/>
  <c r="Q48" i="10"/>
  <c r="R48" i="10" s="1"/>
  <c r="S48" i="10"/>
  <c r="P48" i="10"/>
  <c r="L48" i="10"/>
  <c r="O48" i="10" s="1"/>
  <c r="N48" i="10"/>
  <c r="K48" i="10"/>
  <c r="J48" i="10"/>
  <c r="I48" i="10"/>
  <c r="H48" i="10"/>
  <c r="G48" i="10"/>
  <c r="F48" i="10"/>
  <c r="E48" i="10"/>
  <c r="Z47" i="10"/>
  <c r="R47" i="10"/>
  <c r="Q47" i="10"/>
  <c r="T47" i="10" s="1"/>
  <c r="S47" i="10"/>
  <c r="P47" i="10"/>
  <c r="M47" i="10"/>
  <c r="L47" i="10"/>
  <c r="O47" i="10" s="1"/>
  <c r="N47" i="10"/>
  <c r="K47" i="10"/>
  <c r="J47" i="10"/>
  <c r="I47" i="10"/>
  <c r="H47" i="10"/>
  <c r="G47" i="10"/>
  <c r="F47" i="10"/>
  <c r="E47" i="10"/>
  <c r="Z46" i="10"/>
  <c r="Q46" i="10"/>
  <c r="R46" i="10" s="1"/>
  <c r="S46" i="10"/>
  <c r="P46" i="10"/>
  <c r="L46" i="10"/>
  <c r="O46" i="10" s="1"/>
  <c r="N46" i="10"/>
  <c r="K46" i="10"/>
  <c r="J46" i="10"/>
  <c r="I46" i="10"/>
  <c r="H46" i="10"/>
  <c r="G46" i="10"/>
  <c r="F46" i="10"/>
  <c r="E46" i="10"/>
  <c r="Z45" i="10"/>
  <c r="S45" i="10"/>
  <c r="P45" i="10"/>
  <c r="N45" i="10"/>
  <c r="O45" i="10" s="1"/>
  <c r="K45" i="10"/>
  <c r="M45" i="10" s="1"/>
  <c r="I45" i="10"/>
  <c r="H45" i="10"/>
  <c r="G45" i="10"/>
  <c r="F45" i="10"/>
  <c r="E45" i="10"/>
  <c r="D45" i="10"/>
  <c r="A45" i="10"/>
  <c r="Z44" i="10"/>
  <c r="Q44" i="10"/>
  <c r="T44" i="10" s="1"/>
  <c r="S44" i="10"/>
  <c r="P44" i="10"/>
  <c r="L44" i="10"/>
  <c r="M44" i="10" s="1"/>
  <c r="N44" i="10"/>
  <c r="K44" i="10"/>
  <c r="J44" i="10"/>
  <c r="I44" i="10"/>
  <c r="H44" i="10"/>
  <c r="G44" i="10"/>
  <c r="F44" i="10"/>
  <c r="E44" i="10"/>
  <c r="Z43" i="10"/>
  <c r="Q43" i="10"/>
  <c r="T43" i="10" s="1"/>
  <c r="S43" i="10"/>
  <c r="P43" i="10"/>
  <c r="L43" i="10"/>
  <c r="O43" i="10" s="1"/>
  <c r="N43" i="10"/>
  <c r="K43" i="10"/>
  <c r="J43" i="10"/>
  <c r="I43" i="10"/>
  <c r="H43" i="10"/>
  <c r="G43" i="10"/>
  <c r="F43" i="10"/>
  <c r="E43" i="10"/>
  <c r="Z42" i="10"/>
  <c r="Q42" i="10"/>
  <c r="T42" i="10" s="1"/>
  <c r="S42" i="10"/>
  <c r="P42" i="10"/>
  <c r="L42" i="10"/>
  <c r="M42" i="10" s="1"/>
  <c r="N42" i="10"/>
  <c r="K42" i="10"/>
  <c r="J42" i="10"/>
  <c r="I42" i="10"/>
  <c r="H42" i="10"/>
  <c r="G42" i="10"/>
  <c r="F42" i="10"/>
  <c r="E42" i="10"/>
  <c r="Z41" i="10"/>
  <c r="R41" i="10"/>
  <c r="Q41" i="10"/>
  <c r="T41" i="10" s="1"/>
  <c r="S41" i="10"/>
  <c r="P41" i="10"/>
  <c r="L41" i="10"/>
  <c r="O41" i="10" s="1"/>
  <c r="N41" i="10"/>
  <c r="K41" i="10"/>
  <c r="J41" i="10"/>
  <c r="I41" i="10"/>
  <c r="H41" i="10"/>
  <c r="G41" i="10"/>
  <c r="F41" i="10"/>
  <c r="E41" i="10"/>
  <c r="Z40" i="10"/>
  <c r="S40" i="10"/>
  <c r="T40" i="10" s="1"/>
  <c r="P40" i="10"/>
  <c r="N40" i="10"/>
  <c r="K40" i="10"/>
  <c r="I40" i="10"/>
  <c r="H40" i="10"/>
  <c r="G40" i="10"/>
  <c r="F40" i="10"/>
  <c r="E40" i="10"/>
  <c r="D40" i="10"/>
  <c r="A40" i="10"/>
  <c r="Z39" i="10"/>
  <c r="S39" i="10"/>
  <c r="P39" i="10"/>
  <c r="N39" i="10"/>
  <c r="K39" i="10"/>
  <c r="I39" i="10"/>
  <c r="H39" i="10"/>
  <c r="G39" i="10"/>
  <c r="F39" i="10"/>
  <c r="E39" i="10"/>
  <c r="D39" i="10"/>
  <c r="A39" i="10"/>
  <c r="Z38" i="10"/>
  <c r="T38" i="10"/>
  <c r="Q38" i="10"/>
  <c r="R38" i="10" s="1"/>
  <c r="S38" i="10"/>
  <c r="P38" i="10"/>
  <c r="M38" i="10"/>
  <c r="L38" i="10"/>
  <c r="O38" i="10" s="1"/>
  <c r="N38" i="10"/>
  <c r="K38" i="10"/>
  <c r="J38" i="10"/>
  <c r="I38" i="10"/>
  <c r="H38" i="10"/>
  <c r="G38" i="10"/>
  <c r="F38" i="10"/>
  <c r="E38" i="10"/>
  <c r="Z37" i="10"/>
  <c r="Q37" i="10"/>
  <c r="R37" i="10" s="1"/>
  <c r="S37" i="10"/>
  <c r="P37" i="10"/>
  <c r="L37" i="10"/>
  <c r="O37" i="10" s="1"/>
  <c r="N37" i="10"/>
  <c r="K37" i="10"/>
  <c r="J37" i="10"/>
  <c r="I37" i="10"/>
  <c r="H37" i="10"/>
  <c r="G37" i="10"/>
  <c r="F37" i="10"/>
  <c r="E37" i="10"/>
  <c r="Z36" i="10"/>
  <c r="R36" i="10"/>
  <c r="Q36" i="10"/>
  <c r="T36" i="10" s="1"/>
  <c r="S36" i="10"/>
  <c r="P36" i="10"/>
  <c r="L36" i="10"/>
  <c r="O36" i="10" s="1"/>
  <c r="N36" i="10"/>
  <c r="K36" i="10"/>
  <c r="J36" i="10"/>
  <c r="I36" i="10"/>
  <c r="H36" i="10"/>
  <c r="G36" i="10"/>
  <c r="F36" i="10"/>
  <c r="E36" i="10"/>
  <c r="Z35" i="10"/>
  <c r="Q35" i="10"/>
  <c r="R35" i="10" s="1"/>
  <c r="S35" i="10"/>
  <c r="P35" i="10"/>
  <c r="L35" i="10"/>
  <c r="M35" i="10" s="1"/>
  <c r="N35" i="10"/>
  <c r="K35" i="10"/>
  <c r="J35" i="10"/>
  <c r="I35" i="10"/>
  <c r="H35" i="10"/>
  <c r="G35" i="10"/>
  <c r="F35" i="10"/>
  <c r="E35" i="10"/>
  <c r="Z34" i="10"/>
  <c r="Q34" i="10"/>
  <c r="T34" i="10" s="1"/>
  <c r="S34" i="10"/>
  <c r="P34" i="10"/>
  <c r="L34" i="10"/>
  <c r="M34" i="10" s="1"/>
  <c r="N34" i="10"/>
  <c r="K34" i="10"/>
  <c r="J34" i="10"/>
  <c r="I34" i="10"/>
  <c r="H34" i="10"/>
  <c r="G34" i="10"/>
  <c r="F34" i="10"/>
  <c r="E34" i="10"/>
  <c r="Z33" i="10"/>
  <c r="Q33" i="10"/>
  <c r="T33" i="10" s="1"/>
  <c r="S33" i="10"/>
  <c r="P33" i="10"/>
  <c r="L33" i="10"/>
  <c r="O33" i="10" s="1"/>
  <c r="N33" i="10"/>
  <c r="K33" i="10"/>
  <c r="J33" i="10"/>
  <c r="I33" i="10"/>
  <c r="H33" i="10"/>
  <c r="G33" i="10"/>
  <c r="F33" i="10"/>
  <c r="E33" i="10"/>
  <c r="Z32" i="10"/>
  <c r="Q32" i="10"/>
  <c r="T32" i="10" s="1"/>
  <c r="S32" i="10"/>
  <c r="P32" i="10"/>
  <c r="L32" i="10"/>
  <c r="M32" i="10" s="1"/>
  <c r="N32" i="10"/>
  <c r="K32" i="10"/>
  <c r="J32" i="10"/>
  <c r="I32" i="10"/>
  <c r="H32" i="10"/>
  <c r="G32" i="10"/>
  <c r="F32" i="10"/>
  <c r="E32" i="10"/>
  <c r="Z31" i="10"/>
  <c r="Q31" i="10"/>
  <c r="T31" i="10" s="1"/>
  <c r="S31" i="10"/>
  <c r="P31" i="10"/>
  <c r="L31" i="10"/>
  <c r="O31" i="10" s="1"/>
  <c r="N31" i="10"/>
  <c r="K31" i="10"/>
  <c r="J31" i="10"/>
  <c r="I31" i="10"/>
  <c r="H31" i="10"/>
  <c r="G31" i="10"/>
  <c r="F31" i="10"/>
  <c r="E31" i="10"/>
  <c r="Z30" i="10"/>
  <c r="Q30" i="10"/>
  <c r="R30" i="10" s="1"/>
  <c r="S30" i="10"/>
  <c r="P30" i="10"/>
  <c r="L30" i="10"/>
  <c r="O30" i="10" s="1"/>
  <c r="N30" i="10"/>
  <c r="K30" i="10"/>
  <c r="J30" i="10"/>
  <c r="I30" i="10"/>
  <c r="H30" i="10"/>
  <c r="G30" i="10"/>
  <c r="F30" i="10"/>
  <c r="E30" i="10"/>
  <c r="Z29" i="10"/>
  <c r="Q29" i="10"/>
  <c r="R29" i="10" s="1"/>
  <c r="S29" i="10"/>
  <c r="P29" i="10"/>
  <c r="L29" i="10"/>
  <c r="O29" i="10" s="1"/>
  <c r="N29" i="10"/>
  <c r="K29" i="10"/>
  <c r="J29" i="10"/>
  <c r="I29" i="10"/>
  <c r="H29" i="10"/>
  <c r="G29" i="10"/>
  <c r="F29" i="10"/>
  <c r="E29" i="10"/>
  <c r="Z28" i="10"/>
  <c r="Q28" i="10"/>
  <c r="T28" i="10" s="1"/>
  <c r="S28" i="10"/>
  <c r="P28" i="10"/>
  <c r="L28" i="10"/>
  <c r="O28" i="10" s="1"/>
  <c r="N28" i="10"/>
  <c r="K28" i="10"/>
  <c r="J28" i="10"/>
  <c r="I28" i="10"/>
  <c r="H28" i="10"/>
  <c r="G28" i="10"/>
  <c r="F28" i="10"/>
  <c r="E28" i="10"/>
  <c r="Z27" i="10"/>
  <c r="Q27" i="10"/>
  <c r="R27" i="10" s="1"/>
  <c r="S27" i="10"/>
  <c r="P27" i="10"/>
  <c r="L27" i="10"/>
  <c r="O27" i="10" s="1"/>
  <c r="N27" i="10"/>
  <c r="K27" i="10"/>
  <c r="J27" i="10"/>
  <c r="I27" i="10"/>
  <c r="H27" i="10"/>
  <c r="G27" i="10"/>
  <c r="F27" i="10"/>
  <c r="E27" i="10"/>
  <c r="G26" i="10"/>
  <c r="A26" i="10"/>
  <c r="Z25" i="10"/>
  <c r="Q25" i="10"/>
  <c r="T25" i="10" s="1"/>
  <c r="S25" i="10"/>
  <c r="P25" i="10"/>
  <c r="L25" i="10"/>
  <c r="M25" i="10" s="1"/>
  <c r="N25" i="10"/>
  <c r="K25" i="10"/>
  <c r="J25" i="10"/>
  <c r="I25" i="10"/>
  <c r="H25" i="10"/>
  <c r="G25" i="10"/>
  <c r="F25" i="10"/>
  <c r="E25" i="10"/>
  <c r="Z24" i="10"/>
  <c r="Q24" i="10"/>
  <c r="T24" i="10" s="1"/>
  <c r="S24" i="10"/>
  <c r="P24" i="10"/>
  <c r="L24" i="10"/>
  <c r="O24" i="10" s="1"/>
  <c r="N24" i="10"/>
  <c r="K24" i="10"/>
  <c r="J24" i="10"/>
  <c r="I24" i="10"/>
  <c r="H24" i="10"/>
  <c r="G24" i="10"/>
  <c r="F24" i="10"/>
  <c r="E24" i="10"/>
  <c r="Z23" i="10"/>
  <c r="Q23" i="10"/>
  <c r="R23" i="10" s="1"/>
  <c r="S23" i="10"/>
  <c r="P23" i="10"/>
  <c r="L23" i="10"/>
  <c r="M23" i="10" s="1"/>
  <c r="N23" i="10"/>
  <c r="K23" i="10"/>
  <c r="J23" i="10"/>
  <c r="I23" i="10"/>
  <c r="H23" i="10"/>
  <c r="G23" i="10"/>
  <c r="F23" i="10"/>
  <c r="E23" i="10"/>
  <c r="Z22" i="10"/>
  <c r="Q22" i="10"/>
  <c r="R22" i="10" s="1"/>
  <c r="S22" i="10"/>
  <c r="P22" i="10"/>
  <c r="L22" i="10"/>
  <c r="O22" i="10" s="1"/>
  <c r="N22" i="10"/>
  <c r="K22" i="10"/>
  <c r="J22" i="10"/>
  <c r="I22" i="10"/>
  <c r="H22" i="10"/>
  <c r="G22" i="10"/>
  <c r="F22" i="10"/>
  <c r="E22" i="10"/>
  <c r="Z21" i="10"/>
  <c r="Q21" i="10"/>
  <c r="T21" i="10" s="1"/>
  <c r="S21" i="10"/>
  <c r="P21" i="10"/>
  <c r="L21" i="10"/>
  <c r="O21" i="10" s="1"/>
  <c r="N21" i="10"/>
  <c r="K21" i="10"/>
  <c r="J21" i="10"/>
  <c r="I21" i="10"/>
  <c r="H21" i="10"/>
  <c r="G21" i="10"/>
  <c r="F21" i="10"/>
  <c r="E21" i="10"/>
  <c r="Z20" i="10"/>
  <c r="Q20" i="10"/>
  <c r="R20" i="10" s="1"/>
  <c r="S20" i="10"/>
  <c r="P20" i="10"/>
  <c r="L20" i="10"/>
  <c r="O20" i="10" s="1"/>
  <c r="N20" i="10"/>
  <c r="K20" i="10"/>
  <c r="J20" i="10"/>
  <c r="I20" i="10"/>
  <c r="H20" i="10"/>
  <c r="G20" i="10"/>
  <c r="F20" i="10"/>
  <c r="E20" i="10"/>
  <c r="Z19" i="10"/>
  <c r="Q19" i="10"/>
  <c r="T19" i="10" s="1"/>
  <c r="S19" i="10"/>
  <c r="P19" i="10"/>
  <c r="L19" i="10"/>
  <c r="M19" i="10" s="1"/>
  <c r="N19" i="10"/>
  <c r="K19" i="10"/>
  <c r="J19" i="10"/>
  <c r="I19" i="10"/>
  <c r="H19" i="10"/>
  <c r="G19" i="10"/>
  <c r="F19" i="10"/>
  <c r="E19" i="10"/>
  <c r="Z18" i="10"/>
  <c r="R18" i="10"/>
  <c r="Q18" i="10"/>
  <c r="T18" i="10" s="1"/>
  <c r="S18" i="10"/>
  <c r="P18" i="10"/>
  <c r="M18" i="10"/>
  <c r="L18" i="10"/>
  <c r="O18" i="10" s="1"/>
  <c r="N18" i="10"/>
  <c r="K18" i="10"/>
  <c r="J18" i="10"/>
  <c r="I18" i="10"/>
  <c r="H18" i="10"/>
  <c r="G18" i="10"/>
  <c r="F18" i="10"/>
  <c r="E18" i="10"/>
  <c r="Z17" i="10"/>
  <c r="Q17" i="10"/>
  <c r="T17" i="10" s="1"/>
  <c r="S17" i="10"/>
  <c r="P17" i="10"/>
  <c r="O17" i="10"/>
  <c r="L17" i="10"/>
  <c r="M17" i="10" s="1"/>
  <c r="N17" i="10"/>
  <c r="K17" i="10"/>
  <c r="J17" i="10"/>
  <c r="I17" i="10"/>
  <c r="H17" i="10"/>
  <c r="G17" i="10"/>
  <c r="F17" i="10"/>
  <c r="E17" i="10"/>
  <c r="Z16" i="10"/>
  <c r="Q16" i="10"/>
  <c r="T16" i="10" s="1"/>
  <c r="S16" i="10"/>
  <c r="P16" i="10"/>
  <c r="L16" i="10"/>
  <c r="O16" i="10" s="1"/>
  <c r="N16" i="10"/>
  <c r="K16" i="10"/>
  <c r="J16" i="10"/>
  <c r="I16" i="10"/>
  <c r="H16" i="10"/>
  <c r="G16" i="10"/>
  <c r="F16" i="10"/>
  <c r="E16" i="10"/>
  <c r="Z15" i="10"/>
  <c r="Q15" i="10"/>
  <c r="T15" i="10" s="1"/>
  <c r="S15" i="10"/>
  <c r="P15" i="10"/>
  <c r="L15" i="10"/>
  <c r="O15" i="10" s="1"/>
  <c r="N15" i="10"/>
  <c r="K15" i="10"/>
  <c r="J15" i="10"/>
  <c r="I15" i="10"/>
  <c r="H15" i="10"/>
  <c r="G15" i="10"/>
  <c r="F15" i="10"/>
  <c r="E15" i="10"/>
  <c r="Z14" i="10"/>
  <c r="Q14" i="10"/>
  <c r="R14" i="10" s="1"/>
  <c r="S14" i="10"/>
  <c r="P14" i="10"/>
  <c r="L14" i="10"/>
  <c r="O14" i="10" s="1"/>
  <c r="N14" i="10"/>
  <c r="K14" i="10"/>
  <c r="J14" i="10"/>
  <c r="I14" i="10"/>
  <c r="H14" i="10"/>
  <c r="G14" i="10"/>
  <c r="F14" i="10"/>
  <c r="E14" i="10"/>
  <c r="Z13" i="10"/>
  <c r="Q13" i="10"/>
  <c r="T13" i="10" s="1"/>
  <c r="S13" i="10"/>
  <c r="P13" i="10"/>
  <c r="L13" i="10"/>
  <c r="O13" i="10" s="1"/>
  <c r="N13" i="10"/>
  <c r="K13" i="10"/>
  <c r="J13" i="10"/>
  <c r="I13" i="10"/>
  <c r="H13" i="10"/>
  <c r="G13" i="10"/>
  <c r="F13" i="10"/>
  <c r="E13" i="10"/>
  <c r="Z12" i="10"/>
  <c r="Q12" i="10"/>
  <c r="R12" i="10" s="1"/>
  <c r="S12" i="10"/>
  <c r="P12" i="10"/>
  <c r="O12" i="10"/>
  <c r="M12" i="10"/>
  <c r="L12" i="10"/>
  <c r="N12" i="10"/>
  <c r="K12" i="10"/>
  <c r="J12" i="10"/>
  <c r="I12" i="10"/>
  <c r="H12" i="10"/>
  <c r="G12" i="10"/>
  <c r="F12" i="10"/>
  <c r="E12" i="10"/>
  <c r="Z11" i="10"/>
  <c r="Q11" i="10"/>
  <c r="T11" i="10" s="1"/>
  <c r="S11" i="10"/>
  <c r="P11" i="10"/>
  <c r="L11" i="10"/>
  <c r="M11" i="10" s="1"/>
  <c r="N11" i="10"/>
  <c r="K11" i="10"/>
  <c r="J11" i="10"/>
  <c r="I11" i="10"/>
  <c r="H11" i="10"/>
  <c r="G11" i="10"/>
  <c r="F11" i="10"/>
  <c r="E11" i="10"/>
  <c r="Z10" i="10"/>
  <c r="T10" i="10"/>
  <c r="Q10" i="10"/>
  <c r="R10" i="10" s="1"/>
  <c r="S10" i="10"/>
  <c r="P10" i="10"/>
  <c r="M10" i="10"/>
  <c r="L10" i="10"/>
  <c r="O10" i="10" s="1"/>
  <c r="N10" i="10"/>
  <c r="K10" i="10"/>
  <c r="J10" i="10"/>
  <c r="I10" i="10"/>
  <c r="H10" i="10"/>
  <c r="G10" i="10"/>
  <c r="F10" i="10"/>
  <c r="E10" i="10"/>
  <c r="Z9" i="10"/>
  <c r="Q9" i="10"/>
  <c r="T9" i="10" s="1"/>
  <c r="S9" i="10"/>
  <c r="P9" i="10"/>
  <c r="L9" i="10"/>
  <c r="M9" i="10" s="1"/>
  <c r="N9" i="10"/>
  <c r="K9" i="10"/>
  <c r="J9" i="10"/>
  <c r="I9" i="10"/>
  <c r="H9" i="10"/>
  <c r="G9" i="10"/>
  <c r="F9" i="10"/>
  <c r="E9" i="10"/>
  <c r="G8" i="10"/>
  <c r="A8" i="10"/>
  <c r="G7" i="10"/>
  <c r="A7" i="10"/>
  <c r="G6" i="10"/>
  <c r="A6" i="10"/>
  <c r="O71" i="10" l="1"/>
  <c r="R87" i="10"/>
  <c r="T89" i="10"/>
  <c r="O112" i="10"/>
  <c r="O115" i="10"/>
  <c r="T136" i="10"/>
  <c r="O145" i="10"/>
  <c r="M13" i="10"/>
  <c r="R13" i="10"/>
  <c r="M15" i="10"/>
  <c r="R15" i="10"/>
  <c r="M28" i="10"/>
  <c r="R28" i="10"/>
  <c r="R31" i="10"/>
  <c r="M43" i="10"/>
  <c r="R45" i="10"/>
  <c r="T45" i="10"/>
  <c r="M53" i="10"/>
  <c r="T53" i="10"/>
  <c r="M61" i="10"/>
  <c r="R92" i="10"/>
  <c r="O99" i="10"/>
  <c r="M104" i="10"/>
  <c r="R104" i="10"/>
  <c r="M116" i="10"/>
  <c r="M122" i="10"/>
  <c r="M149" i="10"/>
  <c r="R99" i="10"/>
  <c r="R16" i="10"/>
  <c r="T20" i="10"/>
  <c r="T23" i="10"/>
  <c r="O25" i="10"/>
  <c r="M27" i="10"/>
  <c r="O35" i="10"/>
  <c r="O42" i="10"/>
  <c r="T46" i="10"/>
  <c r="O60" i="10"/>
  <c r="R66" i="10"/>
  <c r="M78" i="10"/>
  <c r="R81" i="10"/>
  <c r="O86" i="10"/>
  <c r="R93" i="10"/>
  <c r="M95" i="10"/>
  <c r="R100" i="10"/>
  <c r="R102" i="10"/>
  <c r="R105" i="10"/>
  <c r="M107" i="10"/>
  <c r="R107" i="10"/>
  <c r="M119" i="10"/>
  <c r="R124" i="10"/>
  <c r="T127" i="10"/>
  <c r="R141" i="10"/>
  <c r="R146" i="10"/>
  <c r="O148" i="10"/>
  <c r="O23" i="10"/>
  <c r="T30" i="10"/>
  <c r="O39" i="10"/>
  <c r="T65" i="10"/>
  <c r="O77" i="10"/>
  <c r="O108" i="10"/>
  <c r="O109" i="10"/>
  <c r="O117" i="10"/>
  <c r="O118" i="10"/>
  <c r="O129" i="10"/>
  <c r="T144" i="10"/>
  <c r="O32" i="10"/>
  <c r="T35" i="10"/>
  <c r="R39" i="10"/>
  <c r="M46" i="10"/>
  <c r="R56" i="10"/>
  <c r="M58" i="10"/>
  <c r="O67" i="10"/>
  <c r="R70" i="10"/>
  <c r="T72" i="10"/>
  <c r="M74" i="10"/>
  <c r="M75" i="10"/>
  <c r="M76" i="10"/>
  <c r="R111" i="10"/>
  <c r="R120" i="10"/>
  <c r="M127" i="10"/>
  <c r="R133" i="10"/>
  <c r="M137" i="10"/>
  <c r="T143" i="10"/>
  <c r="M30" i="10"/>
  <c r="R43" i="10"/>
  <c r="R49" i="10"/>
  <c r="M51" i="10"/>
  <c r="O52" i="10"/>
  <c r="T55" i="10"/>
  <c r="R61" i="10"/>
  <c r="M65" i="10"/>
  <c r="R69" i="10"/>
  <c r="T71" i="10"/>
  <c r="M93" i="10"/>
  <c r="O94" i="10"/>
  <c r="M98" i="10"/>
  <c r="M105" i="10"/>
  <c r="R110" i="10"/>
  <c r="R112" i="10"/>
  <c r="R115" i="10"/>
  <c r="R119" i="10"/>
  <c r="R121" i="10"/>
  <c r="R122" i="10"/>
  <c r="O124" i="10"/>
  <c r="M125" i="10"/>
  <c r="M126" i="10"/>
  <c r="M138" i="10"/>
  <c r="R140" i="10"/>
  <c r="T12" i="10"/>
  <c r="M20" i="10"/>
  <c r="M21" i="10"/>
  <c r="R24" i="10"/>
  <c r="T27" i="10"/>
  <c r="R33" i="10"/>
  <c r="T68" i="10"/>
  <c r="O9" i="10"/>
  <c r="M36" i="10"/>
  <c r="O40" i="10"/>
  <c r="R77" i="10"/>
  <c r="R78" i="10"/>
  <c r="R85" i="10"/>
  <c r="R86" i="10"/>
  <c r="M89" i="10"/>
  <c r="M90" i="10"/>
  <c r="M91" i="10"/>
  <c r="T99" i="10"/>
  <c r="M101" i="10"/>
  <c r="R108" i="10"/>
  <c r="R117" i="10"/>
  <c r="R129" i="10"/>
  <c r="R130" i="10"/>
  <c r="O132" i="10"/>
  <c r="M133" i="10"/>
  <c r="M134" i="10"/>
  <c r="M146" i="10"/>
  <c r="R148" i="10"/>
  <c r="R40" i="10"/>
  <c r="M143" i="10"/>
  <c r="R149" i="10"/>
  <c r="R21" i="10"/>
  <c r="M33" i="10"/>
  <c r="T51" i="10"/>
  <c r="M68" i="10"/>
  <c r="M87" i="10"/>
  <c r="R98" i="10"/>
  <c r="M115" i="10"/>
  <c r="R125" i="10"/>
  <c r="T135" i="10"/>
  <c r="O11" i="10"/>
  <c r="T14" i="10"/>
  <c r="O19" i="10"/>
  <c r="T22" i="10"/>
  <c r="T29" i="10"/>
  <c r="O34" i="10"/>
  <c r="T37" i="10"/>
  <c r="O44" i="10"/>
  <c r="T48" i="10"/>
  <c r="O54" i="10"/>
  <c r="T57" i="10"/>
  <c r="O62" i="10"/>
  <c r="T64" i="10"/>
  <c r="O70" i="10"/>
  <c r="O73" i="10"/>
  <c r="M73" i="10"/>
  <c r="T79" i="10"/>
  <c r="T80" i="10"/>
  <c r="T83" i="10"/>
  <c r="R83" i="10"/>
  <c r="T94" i="10"/>
  <c r="T95" i="10"/>
  <c r="O111" i="10"/>
  <c r="M111" i="10"/>
  <c r="T139" i="10"/>
  <c r="R139" i="10"/>
  <c r="O144" i="10"/>
  <c r="M144" i="10"/>
  <c r="T39" i="10"/>
  <c r="T101" i="10"/>
  <c r="R101" i="10"/>
  <c r="R9" i="10"/>
  <c r="M14" i="10"/>
  <c r="R17" i="10"/>
  <c r="M22" i="10"/>
  <c r="R25" i="10"/>
  <c r="M29" i="10"/>
  <c r="R32" i="10"/>
  <c r="M37" i="10"/>
  <c r="R42" i="10"/>
  <c r="M48" i="10"/>
  <c r="R52" i="10"/>
  <c r="M57" i="10"/>
  <c r="R60" i="10"/>
  <c r="M64" i="10"/>
  <c r="R67" i="10"/>
  <c r="M79" i="10"/>
  <c r="O81" i="10"/>
  <c r="M81" i="10"/>
  <c r="M92" i="10"/>
  <c r="O96" i="10"/>
  <c r="M96" i="10"/>
  <c r="T114" i="10"/>
  <c r="R114" i="10"/>
  <c r="O120" i="10"/>
  <c r="M120" i="10"/>
  <c r="T147" i="10"/>
  <c r="R147" i="10"/>
  <c r="M39" i="10"/>
  <c r="M40" i="10"/>
  <c r="O106" i="10"/>
  <c r="M106" i="10"/>
  <c r="R11" i="10"/>
  <c r="M16" i="10"/>
  <c r="R19" i="10"/>
  <c r="M24" i="10"/>
  <c r="M31" i="10"/>
  <c r="R34" i="10"/>
  <c r="M41" i="10"/>
  <c r="R44" i="10"/>
  <c r="M50" i="10"/>
  <c r="R54" i="10"/>
  <c r="M59" i="10"/>
  <c r="R62" i="10"/>
  <c r="M66" i="10"/>
  <c r="R73" i="10"/>
  <c r="M83" i="10"/>
  <c r="M85" i="10"/>
  <c r="O88" i="10"/>
  <c r="M88" i="10"/>
  <c r="M102" i="10"/>
  <c r="O103" i="10"/>
  <c r="M103" i="10"/>
  <c r="T123" i="10"/>
  <c r="R123" i="10"/>
  <c r="O128" i="10"/>
  <c r="M128" i="10"/>
  <c r="T76" i="10"/>
  <c r="R76" i="10"/>
  <c r="R113" i="10"/>
  <c r="R96" i="10"/>
  <c r="T97" i="10"/>
  <c r="T106" i="10"/>
  <c r="R106" i="10"/>
  <c r="T109" i="10"/>
  <c r="R109" i="10"/>
  <c r="T131" i="10"/>
  <c r="R131" i="10"/>
  <c r="O136" i="10"/>
  <c r="M136" i="10"/>
  <c r="T91" i="10"/>
  <c r="R91" i="10"/>
  <c r="M114" i="10"/>
  <c r="R118" i="10"/>
  <c r="M123" i="10"/>
  <c r="R126" i="10"/>
  <c r="M131" i="10"/>
  <c r="R134" i="10"/>
  <c r="M139" i="10"/>
  <c r="R142" i="10"/>
  <c r="M147" i="10"/>
  <c r="R150" i="10"/>
</calcChain>
</file>

<file path=xl/sharedStrings.xml><?xml version="1.0" encoding="utf-8"?>
<sst xmlns="http://schemas.openxmlformats.org/spreadsheetml/2006/main" count="1611" uniqueCount="449">
  <si>
    <t>Smeta.RU Flash  (495) 974-1589</t>
  </si>
  <si>
    <t/>
  </si>
  <si>
    <t>1.50-3203-32-1/1</t>
  </si>
  <si>
    <t>Установка и разборка инвентарных лесов наружных высотой до 16 м, трубчатых (без затрат по эксплуатации лесов)</t>
  </si>
  <si>
    <t>100 м2</t>
  </si>
  <si>
    <t>1.14-3101-1-5/1</t>
  </si>
  <si>
    <t>Ремонт штукатурки гладких фасадов по камню и бетону с земли и лесов цементно-известковым раствором при площади до 20 м2 толщиной слоя до 20 мм</t>
  </si>
  <si>
    <t>1.14-3204-1-5/1</t>
  </si>
  <si>
    <t>Очистка вручную фасадов простых от масляной, перхлорвиниловой окраски с земли и лесов</t>
  </si>
  <si>
    <t>1.13-3205-27-2/1</t>
  </si>
  <si>
    <t>Антигрибковая защита конструкций с использованием препарата "Картоцид-компаунд", марка Б1 "Каменный доктор", обработка зараженных поверхностей каменных конструкций</t>
  </si>
  <si>
    <t>1.14-3103-2-1/1</t>
  </si>
  <si>
    <t>Улучшенная штукатурка цементно-известковым раствором по камню стен</t>
  </si>
  <si>
    <t>1.14-3203-4-1/1</t>
  </si>
  <si>
    <t>Перхлорвиниловая окраска фасадов с лесов с подготовкой поверхности по штукатурке или бетону</t>
  </si>
  <si>
    <t>1.7-3202-2-1/1</t>
  </si>
  <si>
    <t>Смена поясков, сандриков, отливов, карнизов из оцинкованной стали толщиной 0,5 мм шириной до 0,4 м</t>
  </si>
  <si>
    <t>100 м</t>
  </si>
  <si>
    <t>Разборка покрытий из керамических плиток</t>
  </si>
  <si>
    <t>*0,6</t>
  </si>
  <si>
    <t>1.10-3304-1-1/1</t>
  </si>
  <si>
    <t>Разборка цементных покрытий, толщина 30 мм</t>
  </si>
  <si>
    <t>1.2-3104-1-2/1</t>
  </si>
  <si>
    <t>Разборка фундаментов бетонных</t>
  </si>
  <si>
    <t>м3</t>
  </si>
  <si>
    <t>1.2-3103-2-1/1</t>
  </si>
  <si>
    <t>Устройство бетонной подготовки</t>
  </si>
  <si>
    <t>100 м3</t>
  </si>
  <si>
    <t>1.50-3203-3-10/1</t>
  </si>
  <si>
    <t>Армирование подстилающих слоев и набетонок</t>
  </si>
  <si>
    <t>т</t>
  </si>
  <si>
    <t>1.10-3103-2-1/1</t>
  </si>
  <si>
    <t>Устройство стяжек цементных толщиной 20 мм</t>
  </si>
  <si>
    <t>1.10-3103-2-2/1</t>
  </si>
  <si>
    <t>Добавляется или исключается на каждые 5 мм изменения толщины стяжки к поз.10-3103-2-1</t>
  </si>
  <si>
    <t>*2</t>
  </si>
  <si>
    <t>1.10-3703-4-2/2</t>
  </si>
  <si>
    <t>Устройство покрытий лестничных площадок из крупноразмерных керамогранитных плиток на клее из сухих смесей толщиной слоя 6 мм / плитки противоскользящие, 300х300 мм, цвета: светло-серый, серый, светло-зеленый, бежевый</t>
  </si>
  <si>
    <t>15,1</t>
  </si>
  <si>
    <t>21.1-5-50</t>
  </si>
  <si>
    <t>Плитки керамогранитные, неполированные, противоскользящие, размер 300х300 мм, толщина 8 мм, цвета: светло-серый, серый, светло-зеленый, бежевый</t>
  </si>
  <si>
    <t>м2</t>
  </si>
  <si>
    <t>15,2</t>
  </si>
  <si>
    <t>Цена поставщика</t>
  </si>
  <si>
    <t>Клинкерная ступень флорентинер 330х330 мм, противоскользящая, толщина не менее 12 мм, для наружных работ</t>
  </si>
  <si>
    <t>15,3</t>
  </si>
  <si>
    <t>Плитка клинкерная напольная   противоскользящая, толщина больше или равно  10мм, для наружных работ</t>
  </si>
  <si>
    <t>1.10-3703-4-3/2</t>
  </si>
  <si>
    <t>Устройство покрытий лестничных маршей из крупноразмерных керамогранитных плиток на клее из сухих смесей толщиной слоя 6 мм / плитки противоскользящие, 300х300 мм, цвета: светло-серый, серый, светло-зеленый, бежевый</t>
  </si>
  <si>
    <t>16,1</t>
  </si>
  <si>
    <t>16,2</t>
  </si>
  <si>
    <t>1.14-3403-10-1/1</t>
  </si>
  <si>
    <t>Облицовка стен наружных керамическими крупноразмерными плитами типа керамогранит на клее из сухих смесей с затиркой швов фуговочной смесью - толщиной слоя 4 мм / смеси для плиточных работ марки B12,5 (M150)</t>
  </si>
  <si>
    <t>17,1</t>
  </si>
  <si>
    <t>21.1-5-13</t>
  </si>
  <si>
    <t>Плитка керамическая, типа керамогранит, полированная, размер 30х30 см, толщина 8 мм, цвета: светло-серый, серый, светло-зеленый, бежевый</t>
  </si>
  <si>
    <t>17,2</t>
  </si>
  <si>
    <t>1.13-3204-1-1/1</t>
  </si>
  <si>
    <t>Расчистка поверхностей от старых покрасок (шпателем, щетками и т.д.)</t>
  </si>
  <si>
    <t>1.13-3205-2-2/1</t>
  </si>
  <si>
    <t>Антикоррозионная огрунтовка металлических поверхностей грунтовкой ГФ-021 за один раз</t>
  </si>
  <si>
    <t>1.13-3205-4-8/1</t>
  </si>
  <si>
    <t>Антикоррозионная окраска огрунтованных металлических поверхностей эмалями ПФ-115</t>
  </si>
  <si>
    <t>1.7-3204-1-3/1</t>
  </si>
  <si>
    <t>Разборка покрытий кровли из асбоцементных плиток, черепицы</t>
  </si>
  <si>
    <t>1.7-3203-14-1/1</t>
  </si>
  <si>
    <t>Устройство простой кровли из металлочерепицы по готовым прогонам</t>
  </si>
  <si>
    <t>1.9-3203-1-4/1</t>
  </si>
  <si>
    <t>Демонтаж металлических ограждений без поручня</t>
  </si>
  <si>
    <t>*0,2</t>
  </si>
  <si>
    <t>Демонтаж облицовки стен наружных керамическими крупноразмерными плитами типа керамогранит на клее из сухих смесей с затиркой швов фуговочной смесью - толщиной слоя 4 мм / смеси для плиточных работ марки B12,5 (M150)</t>
  </si>
  <si>
    <t>1.13-3104-1-2/1</t>
  </si>
  <si>
    <t>Отбивка штукатурки по кирпичу и бетону стен, потолков площадью более 5 м2</t>
  </si>
  <si>
    <t>2.1-3103-14-1/2</t>
  </si>
  <si>
    <t>Устройство плитных тротуаров из гладких бетонных плит с заполнением швов цементным раствором, толщина плит 70 мм, цвет плит разный</t>
  </si>
  <si>
    <t>1.13-3103-12-1/1</t>
  </si>
  <si>
    <t>Улучшенная штукатурка по сетке стен без устройства каркаса цементным раствором</t>
  </si>
  <si>
    <t>Установка металлических ограждений без поручня (ранее демонтированных)</t>
  </si>
  <si>
    <t>33,1</t>
  </si>
  <si>
    <t>21.6-1-21</t>
  </si>
  <si>
    <t>Ограждения из прокатных и гнутых профилей полосовой и круглой стали</t>
  </si>
  <si>
    <t>1.14-3503-6-2/1</t>
  </si>
  <si>
    <t>Демонтаж вентилируемого фасада с облицовкой плитами типа керамогранит, устройство фасада по навесной системе из оцинкованной стали (без стоимости кронштейнов, вставок)</t>
  </si>
  <si>
    <t>1.14-3503-6-3/1</t>
  </si>
  <si>
    <t>Демонтаж вентилируемого фасада с облицовкой плитами типа керамогранит, устройство откосов и сливов из оцинкованной стали с полимерным покрытием (без стоимости обрамлений оконных)</t>
  </si>
  <si>
    <t>1.50-3204-16-1/1</t>
  </si>
  <si>
    <t>Разборка изоляционного покрытия из минераловатной плиты</t>
  </si>
  <si>
    <t>Устройство вентилируемого фасада с облицовкой плитами типа керамогранит, устройство фасада по навесной системе из оцинкованной стали (без стоимости кронштейнов, вставок)</t>
  </si>
  <si>
    <t>37,1</t>
  </si>
  <si>
    <t>21.7-1-33</t>
  </si>
  <si>
    <t>Кронштейны из оцинкованной стали с полимерным покрытием, для навесных вентилируемых фасадов, марка ОК-7, длина 180 мм</t>
  </si>
  <si>
    <t>шт.</t>
  </si>
  <si>
    <t>37,2</t>
  </si>
  <si>
    <t>21.7-1-13</t>
  </si>
  <si>
    <t>Вставки из оцинкованной стали с полимерным покрытием, для навесных вентилируемых фасадов, марка ОВ-7, длина 120 мм</t>
  </si>
  <si>
    <t>1.5-3105-5-3/1</t>
  </si>
  <si>
    <t>Устройство теплоизоляции фасадов зданий, минераловатными плитами на клее с креплением дюбелями с лесов при толщине утеплителя 100 мм (по кирпичу и бетону)</t>
  </si>
  <si>
    <t>Устройство вентилируемого фасада с облицовкой плитами типа керамогранит, устройство откосов и сливов из оцинкованной стали с полимерным покрытием (без стоимости обрамлений оконных)</t>
  </si>
  <si>
    <t>39,1</t>
  </si>
  <si>
    <t>21.7-1-36</t>
  </si>
  <si>
    <t>Обрамления оконных проемов (сливы, откосы) и покрытия парапетов из оцинкованной стали с полимерным покрытием с одной стороны, для навесных вентилируемых фасадов, толщина 0,55 мм</t>
  </si>
  <si>
    <t>1.2-3103-30-7/1</t>
  </si>
  <si>
    <t>Гидроизоляция стен, фундаментов боковая обмазочная битумная в 2 слоя по выровненной поверхности бутовой кладки, кирпичу, бетону</t>
  </si>
  <si>
    <t>1.5-3101-4-1/1</t>
  </si>
  <si>
    <t>Ремонт кирпичной кладки стен отдельными местами</t>
  </si>
  <si>
    <t>1.11-3104-9-1/1</t>
  </si>
  <si>
    <t>Разборка деревянных заполнений проемов оконных с подоконными досками</t>
  </si>
  <si>
    <t>1.11-3203-3-4/1</t>
  </si>
  <si>
    <t>Установка оконных блоков из ПВХ профилей -с поворотно-откидными и распашными створками, площадь проема более 2 м2 / профиль 5-тикамерного сечения, с 2-хкамерными энергосберегающими стеклопакетами</t>
  </si>
  <si>
    <t>1.7-3102-3-1/1</t>
  </si>
  <si>
    <t>Смена обрешетки с прозорами из досок толщиной 32 мм</t>
  </si>
  <si>
    <t>1.14-3203-14-2/1</t>
  </si>
  <si>
    <t>Окраска масляными составами за два раза металлических поверхностей площадью более 5 м2</t>
  </si>
  <si>
    <t>Прочие работы</t>
  </si>
  <si>
    <t>1.49-9101-7-1/1</t>
  </si>
  <si>
    <t>Механизированная погрузка строительного мусора в автомобили-самосвалы</t>
  </si>
  <si>
    <t>1.49-9201-1-2/1</t>
  </si>
  <si>
    <t>Перевозка строительного мусора автосамосвалами грузоподъемностью до 10 т на расстояние 1 км - при механизированной погрузке</t>
  </si>
  <si>
    <t>1.49-9201-1-3/1</t>
  </si>
  <si>
    <t>Перевозка строительного мусора автосамосвалами грузоподъемностью до 10 т - добавляется на каждый последующий 1 км до 100 км</t>
  </si>
  <si>
    <t>*49</t>
  </si>
  <si>
    <t>Итого по смете</t>
  </si>
  <si>
    <t>НДС 22%</t>
  </si>
  <si>
    <t>Всего по смете с НДС</t>
  </si>
  <si>
    <t>21.1-9-51</t>
  </si>
  <si>
    <t>Доски хвойных пород, обрезные, длина 2-6,5 м, сорт II, толщина 25-32 мм</t>
  </si>
  <si>
    <t>21.1-9-52</t>
  </si>
  <si>
    <t>Доски хвойных пород, обрезные, длина 2-6,5 м, сорт II, толщина 40-60 мм</t>
  </si>
  <si>
    <t>21.3-2-10</t>
  </si>
  <si>
    <t>Растворы цементно-известковые, марка 75</t>
  </si>
  <si>
    <t>21.1-25-13</t>
  </si>
  <si>
    <t>Вода</t>
  </si>
  <si>
    <t>21.1-8-8</t>
  </si>
  <si>
    <t>Средство биоцидное для защиты неметаллических строительных материалов от всех видов биокоррозии "Картоцид-компаунд", марка Б1 "Каменный доктор"</t>
  </si>
  <si>
    <t>кг</t>
  </si>
  <si>
    <t>21.3-2-97</t>
  </si>
  <si>
    <t>Смеси сухие штукатурные цементно-известковые для внутренних и наружных работ, для машинного и ручного нанесения, марка 75</t>
  </si>
  <si>
    <t>21.1-20-7</t>
  </si>
  <si>
    <t>Ветошь</t>
  </si>
  <si>
    <t>21.1-25-218</t>
  </si>
  <si>
    <t>Пемза шлаковая</t>
  </si>
  <si>
    <t>21.1-25-409</t>
  </si>
  <si>
    <t>Шпатлевка перхлорвиниловая, марка ХВ</t>
  </si>
  <si>
    <t>21.1-6-114</t>
  </si>
  <si>
    <t>Растворитель уайт-спирит (нефрас-С4 - 155/200)</t>
  </si>
  <si>
    <t>21.1-6-163</t>
  </si>
  <si>
    <t>Грунтовка перхлорвиниловая, ХВ</t>
  </si>
  <si>
    <t>21.1-6-55</t>
  </si>
  <si>
    <t>Краски фасадные перхлорвиниловые, марка ХВ-161 (белая)</t>
  </si>
  <si>
    <t>21.1-10-14</t>
  </si>
  <si>
    <t>Проволока стальная кровельная оцинкованная</t>
  </si>
  <si>
    <t>21.1-10-165</t>
  </si>
  <si>
    <t>Сталь листовая, оцинкованная, толщина 0,5 мм</t>
  </si>
  <si>
    <t>21.1-11-46</t>
  </si>
  <si>
    <t>Гвозди строительные</t>
  </si>
  <si>
    <t>21.1-20-17</t>
  </si>
  <si>
    <t>Мешковина</t>
  </si>
  <si>
    <t>21.3-1-64</t>
  </si>
  <si>
    <t>Смеси бетонные, БСТ, тяжелого бетона на гранитном щебне, класс прочности: В7,5 (М100); П3, фракция 5-20</t>
  </si>
  <si>
    <t>21.1-10-21</t>
  </si>
  <si>
    <t>Проволока стальная низкоуглеродистая общего назначения, диаметр 1,1 мм</t>
  </si>
  <si>
    <t>21.3-4-68</t>
  </si>
  <si>
    <t>Каркасы и сетки арматурные плоские, собранные и сваренные (связанные) в арматурные изделия, класс ВР-I, диаметр 5 мм</t>
  </si>
  <si>
    <t>21.3-2-16</t>
  </si>
  <si>
    <t>Растворы цементные, марка 150</t>
  </si>
  <si>
    <t>21.1-6-9</t>
  </si>
  <si>
    <t>Грунтовка акриловая адгезионная для обработки бетонных оснований перед оштукатуриванием, марка "Бетоконтакт"</t>
  </si>
  <si>
    <t>21.3-2-107</t>
  </si>
  <si>
    <t>Смеси сухие цементно-песчаные, клеевые для плиточных работ: В12,5 (М150), F50, крупность заполнителя не более 0,5 мм</t>
  </si>
  <si>
    <t>21.3-2-109</t>
  </si>
  <si>
    <t>Смеси сухие фуговочные для заделки швов между плитками (различная цветовая гамма): В7,5 (М100), F50, крупность заполнителя 0,3 мм</t>
  </si>
  <si>
    <t>21.1-16-57</t>
  </si>
  <si>
    <t>Ксилол нефтяной, марка А</t>
  </si>
  <si>
    <t>21.1-6-12</t>
  </si>
  <si>
    <t>Грунтовка глифталевая, ГФ-021</t>
  </si>
  <si>
    <t>21.1-6-139</t>
  </si>
  <si>
    <t>Эмаль, марка ПФ-115 (цветная), пентафталевая</t>
  </si>
  <si>
    <t>21.1-11-126</t>
  </si>
  <si>
    <t>Шурупы-саморезы кровельные оцинкованные с шайбой и уплотнительной прокладкой, размер 4,8х35 мм</t>
  </si>
  <si>
    <t>100 шт.</t>
  </si>
  <si>
    <t>21.1-11-127</t>
  </si>
  <si>
    <t>Шурупы-саморезы кровельные оцинкованные с шайбой и уплотнительной прокладкой, размер 4,8х80 мм</t>
  </si>
  <si>
    <t>21.1-25-277</t>
  </si>
  <si>
    <t>Прокладка уплотнительная пенополиуретановая подкровельная</t>
  </si>
  <si>
    <t>м</t>
  </si>
  <si>
    <t>21.7-1-77</t>
  </si>
  <si>
    <t>Металлочерепица из оцинкованной стали с полимерным покрытием</t>
  </si>
  <si>
    <t>21.7-1-79</t>
  </si>
  <si>
    <t>Планки карнизные из оцинкованной стали с полимерным покрытием для устройства кровли</t>
  </si>
  <si>
    <t>21.7-1-80</t>
  </si>
  <si>
    <t>Планки конька плоского из оцинкованной стали с полимерным покрытием для устройства кровли</t>
  </si>
  <si>
    <t>21.7-1-81</t>
  </si>
  <si>
    <t>Планки торцевые из оцинкованной стали с полимерным покрытием для устройства кровли</t>
  </si>
  <si>
    <t>21.1-2-13</t>
  </si>
  <si>
    <t>Цемент общестроительный, портландцемент общего назначения, марка 400</t>
  </si>
  <si>
    <t>21.3-2-11</t>
  </si>
  <si>
    <t>Растворы цементно-известковые, марка 100</t>
  </si>
  <si>
    <t>21.5-3-76</t>
  </si>
  <si>
    <t>Плиты бетонные тротуарные, толщина 70 мм, цвет: разного цвета</t>
  </si>
  <si>
    <t>21.1-11-51</t>
  </si>
  <si>
    <t>Дюбели с насаженными шайбами</t>
  </si>
  <si>
    <t>21.1-25-209</t>
  </si>
  <si>
    <t>Пакля пропитанная</t>
  </si>
  <si>
    <t>21.1-25-335</t>
  </si>
  <si>
    <t>Сетка проволочная штукатурная тканая, квадрат 5х5 мм, толщина 1,6 мм</t>
  </si>
  <si>
    <t>21.3-2-62</t>
  </si>
  <si>
    <t>Смеси сухие цементно-песчаные, универсальные для общестроительных и штукатурных работ, марка М-150</t>
  </si>
  <si>
    <t>21.1-11-200</t>
  </si>
  <si>
    <t>Кляммеры концевые из нержавеющей стали, окрашенные, для навесных вентилируемых фасадов, марка ОКК</t>
  </si>
  <si>
    <t>21.1-11-202</t>
  </si>
  <si>
    <t>Кляммеры рядовые из нержавеющей стали, окрашенные, для навесных вентилируемых фасадов, марка ОКР-2</t>
  </si>
  <si>
    <t>21.1-11-205</t>
  </si>
  <si>
    <t>Кляммеры рядовые из нержавеющей стали, окрашенные, для навесных вентилируемых фасадов, марка ОКР-4</t>
  </si>
  <si>
    <t>21.1-11-53</t>
  </si>
  <si>
    <t>Дюбели фасадные полимерные с шурупом из нержавеющей стали с шестигранной головкой, диаметр 10 мм, длина 100 мм</t>
  </si>
  <si>
    <t>21.1-11-73</t>
  </si>
  <si>
    <t>Заклепки из нержавеющей стали для навесных вентилируемых фасадов, размер 4,0х8,0 мм</t>
  </si>
  <si>
    <t>21.1-11-88</t>
  </si>
  <si>
    <t>Прижимы из нержавеющей стали для навесных вентилируемых фасадов, марка ПУ-1</t>
  </si>
  <si>
    <t>21.1-11-90</t>
  </si>
  <si>
    <t>Скобы из оцинкованной стали с полимерным покрытием в профили направляющие, для навесных вентилируемых фасадов, марка СК-2</t>
  </si>
  <si>
    <t>21.1-11-96</t>
  </si>
  <si>
    <t>Шайбы из нержавеющей стали для навесных вентилируемых фасадов, марка Ш-1</t>
  </si>
  <si>
    <t>21.1-25-279</t>
  </si>
  <si>
    <t>Прокладки паронитовые для кронштейнов</t>
  </si>
  <si>
    <t>100 компл.</t>
  </si>
  <si>
    <t>21.1-5-15</t>
  </si>
  <si>
    <t>Плиты керамические, типа керамогранит, неполированные, размер 600х600х10 мм, артикул цвета ST 05; 07; 15; 151</t>
  </si>
  <si>
    <t>21.3-2-69</t>
  </si>
  <si>
    <t>Смеси сухие цементные ремонтные для оштукатуривания и ремонта бетонных поверхностей: В15 (М200), F100, крупность заполнителя 0,5 - 1,2 мм</t>
  </si>
  <si>
    <t>21.7-1-47</t>
  </si>
  <si>
    <t>Полки из оцинкованной стали с полимерным покрытием, для навесных вентилируемых фасадов, марка ПЛ-2</t>
  </si>
  <si>
    <t>21.7-1-52</t>
  </si>
  <si>
    <t>Профили направляющие из оцинкованной стали с полимерным покрытием, для навесных вентилируемых фасадов, марка ОН-2</t>
  </si>
  <si>
    <t>21.7-1-69</t>
  </si>
  <si>
    <t>Стойки из оцинкованной стали с полимерным покрытием, для навесных вентилируемых фасадов, марка СТ-2</t>
  </si>
  <si>
    <t>21.7-3-1</t>
  </si>
  <si>
    <t>Буры с победитовым наконечником, диаметр 10 мм, длина рабочей части 200 мм, с хвостовиком SDS</t>
  </si>
  <si>
    <t>21.1-11-32</t>
  </si>
  <si>
    <t>Винты самонарезающие оцинкованные, длина 25 мм</t>
  </si>
  <si>
    <t>21.7-1-34</t>
  </si>
  <si>
    <t>Кронштейны оконного обрамления из оцинкованной стали с полимерным покрытием, для навесных вентилируемых фасадов, марка К-2, длина 200 мм</t>
  </si>
  <si>
    <t>21.7-1-45</t>
  </si>
  <si>
    <t>Пластины из оцинкованной стали с полимерным покрытием 1,2х80 мм, для навесных вентилируемых фасадов</t>
  </si>
  <si>
    <t>21.7-1-71</t>
  </si>
  <si>
    <t>Уголки из оцинкованной стали с полимерным покрытием, для навесных вентилируемых фасадов, марка УГ-2</t>
  </si>
  <si>
    <t>21.7-3-48</t>
  </si>
  <si>
    <t>Сверло по бетону ВК-8, длина 100 мм, диаметр 8 мм</t>
  </si>
  <si>
    <t>21.7-5-11</t>
  </si>
  <si>
    <t>Анкер-болт забивной распорный, оцинкованный, М2 M8x80</t>
  </si>
  <si>
    <t>21.1-11-199</t>
  </si>
  <si>
    <t>Дюбели полимерные тарельчатого типа с распорным стержнем для крепления утеплителя к стене</t>
  </si>
  <si>
    <t>21.1-14-42</t>
  </si>
  <si>
    <t>Плиты минераловатные теплоизоляционные на синтетическом связующем, жесткие</t>
  </si>
  <si>
    <t>21.3-2-119</t>
  </si>
  <si>
    <t>Смеси сухие клеевые на цементном вяжущем с модифицирующими добавками для приклеивания утеплителя, марка "AlfaFIX S2"</t>
  </si>
  <si>
    <t>21.1-1-5</t>
  </si>
  <si>
    <t>Битумы нефтяные, строительные марка БН, БНСК</t>
  </si>
  <si>
    <t>21.1-1-75</t>
  </si>
  <si>
    <t>Мастика клеящая морозостойкая, марка МБ-50, битумно-масляная</t>
  </si>
  <si>
    <t>21.1-4-9</t>
  </si>
  <si>
    <t>Керосин</t>
  </si>
  <si>
    <t>21.1-5-8</t>
  </si>
  <si>
    <t>Кирпич керамический обыкновенный, размер 250х120х65 мм, марка средняя</t>
  </si>
  <si>
    <t>1000 шт.</t>
  </si>
  <si>
    <t>21.3-2-9</t>
  </si>
  <si>
    <t>Растворы цементно-известковые, марка 50</t>
  </si>
  <si>
    <t>21.1-11-65</t>
  </si>
  <si>
    <t>Дюбель рамный МД 10х180 мм</t>
  </si>
  <si>
    <t>21.1-25-144</t>
  </si>
  <si>
    <t>Лента самоклеющаяся водоизоляционная, паропроницаемая, гидроизоляционная бутилкаучуковая, мембранного типа, для наружного слоя монтажного шва, ширина 70 мм</t>
  </si>
  <si>
    <t>21.1-25-147</t>
  </si>
  <si>
    <t>Лента самоклеющаяся гидро-, паро-, звукоизоляционная, герметизирующая, уплотнительная, бутилкаучуковая, дублирована нетканым полотном с двух сторон, для внутреннего слоя монтажного шва, ширина 70 мм</t>
  </si>
  <si>
    <t>21.1-25-219</t>
  </si>
  <si>
    <t>Пена монтажная</t>
  </si>
  <si>
    <t>л</t>
  </si>
  <si>
    <t>21.1-25-715</t>
  </si>
  <si>
    <t>Лента предварительносжатая саморасширяющаяся уплотнительная ПСУЛ 15/4</t>
  </si>
  <si>
    <t>21.9-1-28</t>
  </si>
  <si>
    <t>Блоки оконные из ПВХ профилей КБЕ 5-ти камерного сечения, с двухкамерными стеклопакетами с двумя энергосберегающими стеклами, с поворотно-откидными и распашными створками, марка ОПСПДх-х ПО, с фурнитурой</t>
  </si>
  <si>
    <t>21.1-9-36</t>
  </si>
  <si>
    <t>Доски хвойных пород, необрезные, длина 2-6,5 м, сорт II, толщина 25-32 мм</t>
  </si>
  <si>
    <t>21.1-6-44</t>
  </si>
  <si>
    <t>Краски масляные жидкотертые цветные (готовые к употреблению) для наружных и внутренних работ, марка МА-15</t>
  </si>
  <si>
    <t>21.1-6-90</t>
  </si>
  <si>
    <t>Олифа для окраски комбинированная оксоль</t>
  </si>
  <si>
    <t>"СОГЛАСОВАНО"</t>
  </si>
  <si>
    <t>"УТВЕРЖДАЮ"</t>
  </si>
  <si>
    <t>(локальный сметный расчет)</t>
  </si>
  <si>
    <t>(наименование работ и затрат, наименование объекта)</t>
  </si>
  <si>
    <t>Сметная стоимость</t>
  </si>
  <si>
    <t>тыс.руб</t>
  </si>
  <si>
    <t>Строительные работы</t>
  </si>
  <si>
    <t>Монтажные работы</t>
  </si>
  <si>
    <t>Оборудование</t>
  </si>
  <si>
    <t>Средства на оплату труда</t>
  </si>
  <si>
    <t>№№ п/п</t>
  </si>
  <si>
    <t>Шифр расценки и коды ресурсов</t>
  </si>
  <si>
    <t>Наименование работ и затрат</t>
  </si>
  <si>
    <t>Единица измерения</t>
  </si>
  <si>
    <t>Кол-во единиц</t>
  </si>
  <si>
    <t>Цена на ед. изм. руб.</t>
  </si>
  <si>
    <t>Попра-вочные коэфф.</t>
  </si>
  <si>
    <t>Коэфф. зимних удоро-жаний</t>
  </si>
  <si>
    <t>Коэфф. пересчета</t>
  </si>
  <si>
    <t>ВСЕГО затрат, руб.</t>
  </si>
  <si>
    <t>Справочно</t>
  </si>
  <si>
    <t>ЗТР, всего чел.-час</t>
  </si>
  <si>
    <t>Ст-ть ед. с начислен.</t>
  </si>
  <si>
    <t>Составлен(а) в уровне текущих (прогнозных) цен на январь 2026 года</t>
  </si>
  <si>
    <t>ЗП</t>
  </si>
  <si>
    <t>МР</t>
  </si>
  <si>
    <t>НР от ЗП</t>
  </si>
  <si>
    <t>%</t>
  </si>
  <si>
    <t>СП от ЗП</t>
  </si>
  <si>
    <t>ЗТР</t>
  </si>
  <si>
    <t>чел-ч</t>
  </si>
  <si>
    <t>ЭМ</t>
  </si>
  <si>
    <t>в т.ч. ЗПМ</t>
  </si>
  <si>
    <t>НР и СП от ЗПМ</t>
  </si>
  <si>
    <r>
      <t>1.10-3704-1-2/1</t>
    </r>
    <r>
      <rPr>
        <i/>
        <sz val="10"/>
        <rFont val="Arial"/>
        <family val="2"/>
        <charset val="204"/>
      </rPr>
      <t xml:space="preserve">
Поправка: СН-2012. Гл.1 Сб.10 п.3.5.1</t>
    </r>
  </si>
  <si>
    <r>
      <t>Плитка клинкерная напольная   противоскользящая, толщина больше или равно  10мм, для наружных работ</t>
    </r>
    <r>
      <rPr>
        <i/>
        <sz val="10"/>
        <rFont val="Arial"/>
        <family val="2"/>
        <charset val="204"/>
      </rPr>
      <t xml:space="preserve">
1 424,32 = [1 703,6 / 1,22] +  2% Трансп</t>
    </r>
  </si>
  <si>
    <r>
      <t>1.9-3203-1-4/1</t>
    </r>
    <r>
      <rPr>
        <i/>
        <sz val="10"/>
        <rFont val="Arial"/>
        <family val="2"/>
        <charset val="204"/>
      </rPr>
      <t xml:space="preserve">
Поправка: СН-2012 О.П. п.22</t>
    </r>
  </si>
  <si>
    <r>
      <t>1.14-3403-10-1/1</t>
    </r>
    <r>
      <rPr>
        <i/>
        <sz val="10"/>
        <rFont val="Arial"/>
        <family val="2"/>
        <charset val="204"/>
      </rPr>
      <t xml:space="preserve">
Поправка: СН-2012 О.П. п.22</t>
    </r>
  </si>
  <si>
    <r>
      <t>1.14-3503-6-2/1</t>
    </r>
    <r>
      <rPr>
        <i/>
        <sz val="10"/>
        <rFont val="Arial"/>
        <family val="2"/>
        <charset val="204"/>
      </rPr>
      <t xml:space="preserve">
Поправка: СН-2012 О.П. п.22</t>
    </r>
  </si>
  <si>
    <r>
      <t>1.14-3503-6-3/1</t>
    </r>
    <r>
      <rPr>
        <i/>
        <sz val="10"/>
        <rFont val="Arial"/>
        <family val="2"/>
        <charset val="204"/>
      </rPr>
      <t xml:space="preserve">
Поправка: СН-2012 О.П. п.22</t>
    </r>
  </si>
  <si>
    <t xml:space="preserve">Составил   </t>
  </si>
  <si>
    <t>[должность,подпись(инициалы,фамилия)]</t>
  </si>
  <si>
    <t xml:space="preserve">Проверил   </t>
  </si>
  <si>
    <t xml:space="preserve">Мы, нижеподписавшиеся, произвели осмотр объекта </t>
  </si>
  <si>
    <t xml:space="preserve">и постановили произвести ремонт объекта в </t>
  </si>
  <si>
    <t>следующем объеме:</t>
  </si>
  <si>
    <t>№ п/п</t>
  </si>
  <si>
    <t>Количество</t>
  </si>
  <si>
    <t>Примечание</t>
  </si>
  <si>
    <t>TYPE</t>
  </si>
  <si>
    <t>SOURCE_LINK</t>
  </si>
  <si>
    <t>RABMAT_EX</t>
  </si>
  <si>
    <t>TIP_RAB</t>
  </si>
  <si>
    <t>TYPE_TRUD</t>
  </si>
  <si>
    <t>TAB</t>
  </si>
  <si>
    <t>NAME</t>
  </si>
  <si>
    <t>EDIZM</t>
  </si>
  <si>
    <t>KOLL</t>
  </si>
  <si>
    <t>UCH</t>
  </si>
  <si>
    <t>PRICE_B</t>
  </si>
  <si>
    <t>PRICE_ED</t>
  </si>
  <si>
    <t>STOIM_B</t>
  </si>
  <si>
    <t>PRICE_C</t>
  </si>
  <si>
    <t>STOIM_C</t>
  </si>
  <si>
    <t>ZPM_B</t>
  </si>
  <si>
    <t>ZPM_ED</t>
  </si>
  <si>
    <t>STOIM_ZPM_B</t>
  </si>
  <si>
    <t>ZPM_C</t>
  </si>
  <si>
    <t>STOIM_ZPM_C</t>
  </si>
  <si>
    <t>CRC_GR_RES</t>
  </si>
  <si>
    <t>CRC_B</t>
  </si>
  <si>
    <t>CRC_C</t>
  </si>
  <si>
    <t>RABMAT</t>
  </si>
  <si>
    <t>WBS</t>
  </si>
  <si>
    <t>CBSI</t>
  </si>
  <si>
    <t>CBSII</t>
  </si>
  <si>
    <t>TechSpecCVORPP</t>
  </si>
  <si>
    <t>BuildingFinished</t>
  </si>
  <si>
    <t>PEREVOZKA</t>
  </si>
  <si>
    <t>Trud</t>
  </si>
  <si>
    <t>Mash</t>
  </si>
  <si>
    <t>Mat</t>
  </si>
  <si>
    <t>MatZak</t>
  </si>
  <si>
    <t>Oborud</t>
  </si>
  <si>
    <t>OborudZak</t>
  </si>
  <si>
    <t>ZeroStoim</t>
  </si>
  <si>
    <t>NegativeKoll</t>
  </si>
  <si>
    <t>ReUnionKollResurcy</t>
  </si>
  <si>
    <t>UnionOneUchRes</t>
  </si>
  <si>
    <t>IdLevel</t>
  </si>
  <si>
    <t>ViewCodes</t>
  </si>
  <si>
    <t>UnionCodes</t>
  </si>
  <si>
    <t>Ресурсная ведомость на</t>
  </si>
  <si>
    <t>Объект: +!Ремонт входных групп и фасада 1 корпуса и цоколя 5 корпуса</t>
  </si>
  <si>
    <t>Обоснование</t>
  </si>
  <si>
    <t>Наименование</t>
  </si>
  <si>
    <t>Объем</t>
  </si>
  <si>
    <t>Базовая</t>
  </si>
  <si>
    <t>цена</t>
  </si>
  <si>
    <t>стоимость</t>
  </si>
  <si>
    <t>Локальная смета: Ремонт фасада и входных групп 1-го корпуса, цоколя 5 корпуса ГБУЗ "ПКБ №4 ДЗМ", по адресу: г.Москва, ул. Потешная 3</t>
  </si>
  <si>
    <t xml:space="preserve">Материальные ресурсы </t>
  </si>
  <si>
    <t xml:space="preserve">Итого материальные ресурсы </t>
  </si>
  <si>
    <t>Объект: Ремонт фасада и входных групп 1-го корпуса, цоколя 5 корпуса ГБУЗ "ПКБ №4 ДЗМ", по адресу: г.Москва, ул. Потешная 3</t>
  </si>
  <si>
    <t xml:space="preserve">Локальная смета: </t>
  </si>
  <si>
    <t>Раздел: Фасад и входные группы 1-го корпуса</t>
  </si>
  <si>
    <t>Подраздел: Фасад</t>
  </si>
  <si>
    <t>Подраздел: Главный вход</t>
  </si>
  <si>
    <t>Подраздел: Ремонт пандуса</t>
  </si>
  <si>
    <t>Раздел: 5й корпус: подвал</t>
  </si>
  <si>
    <t>Раздел: Прочие работы</t>
  </si>
  <si>
    <t xml:space="preserve">Дефектный акт  </t>
  </si>
  <si>
    <t>На капитальный ремонт  Ремонт фасада и входных групп 1-го корпуса, цоколя 5 корпуса ГБУЗ "ПКБ №4 ДЗМ", по адресу: г.Москва, ул. Потешная 3</t>
  </si>
  <si>
    <t>Smeta.RU Flash  (495) 974-1589     СН-2012 (© ОАО МЦЦС 'Мосстройцены', 2026)</t>
  </si>
  <si>
    <t xml:space="preserve">ЛОКАЛЬНАЯ СМЕТА № </t>
  </si>
  <si>
    <t xml:space="preserve">Основание: чертежи № </t>
  </si>
  <si>
    <t>Объем: 15,2827=1528,27/100</t>
  </si>
  <si>
    <t>Объем: 3,821=382,1/100</t>
  </si>
  <si>
    <t>Объем: 9,746=(974,6)/100</t>
  </si>
  <si>
    <t>Объем: 3,8211=382,11/100</t>
  </si>
  <si>
    <t>Объем: 13,567=1356,7/100</t>
  </si>
  <si>
    <t>Объем: 1,24=124/100</t>
  </si>
  <si>
    <t>Итого по подразделу: Фасад</t>
  </si>
  <si>
    <t>Объем: 0,095=9,5/100</t>
  </si>
  <si>
    <t>Объем: 0,071=7,1/100</t>
  </si>
  <si>
    <t>Объем: 0,003=0,3/100</t>
  </si>
  <si>
    <t>Объем: 0,012=1,2/100</t>
  </si>
  <si>
    <t>Объем: 0,018=1,8/100</t>
  </si>
  <si>
    <t>Объем: 0,092=9,2/100</t>
  </si>
  <si>
    <t>Итого по подразделу: Главный вход</t>
  </si>
  <si>
    <t>Объем: 0,26=26/100</t>
  </si>
  <si>
    <t>Объем: 0,313=31,3/100</t>
  </si>
  <si>
    <t>Объем: 0,146=14,6/100</t>
  </si>
  <si>
    <t>Итого по подразделу: Ремонт пандуса</t>
  </si>
  <si>
    <t>Итого по разделу: Фасад и входные группы 1-го корпуса</t>
  </si>
  <si>
    <t>Объем: 0,963=96,3/100</t>
  </si>
  <si>
    <t>Объем: 0,308=30,8/100</t>
  </si>
  <si>
    <t>Объем: 0,0963=9,63/100</t>
  </si>
  <si>
    <t>Объем: 0,36=36/100</t>
  </si>
  <si>
    <t>Объем: 0,063=6,3/100</t>
  </si>
  <si>
    <t>Объем: 0,0082=0,82/100</t>
  </si>
  <si>
    <t>Объем: 0,6=60/100</t>
  </si>
  <si>
    <t>Объем: 0,22=22/100</t>
  </si>
  <si>
    <t>Объем: 0,068=6,8/100</t>
  </si>
  <si>
    <t>Итого по разделу: 5й корпус: подвал</t>
  </si>
  <si>
    <t>Итого по разделу: Прочие работы</t>
  </si>
  <si>
    <t xml:space="preserve">Итого по локальной смете: </t>
  </si>
  <si>
    <t xml:space="preserve"> </t>
  </si>
  <si>
    <t>Начальник ОЭЗС и ИК</t>
  </si>
  <si>
    <t xml:space="preserve">                       А.З. Нуров</t>
  </si>
  <si>
    <t xml:space="preserve">Инженер-сметчик </t>
  </si>
  <si>
    <t xml:space="preserve">                   М.С Кадыкова</t>
  </si>
  <si>
    <r>
      <t>Клинкерная ступень флорентинер 330х330 мм, противоскользящая, толщина больше или равно 12 мм, для наружных работ</t>
    </r>
    <r>
      <rPr>
        <i/>
        <sz val="10"/>
        <rFont val="Arial"/>
        <family val="2"/>
        <charset val="204"/>
      </rPr>
      <t xml:space="preserve">
4 786,68 = [5 725,24 / 1,22] +  2% Трансп</t>
    </r>
  </si>
  <si>
    <t>по экономическим вопросам</t>
  </si>
  <si>
    <t>ГБУЗ "ПКБ № 4 ДЗМ"</t>
  </si>
  <si>
    <t xml:space="preserve">                   Ремонт фасада и входных групп 1-го корпуса, цоколя 5 корпусав  ГБУЗ "ПКБ № 4 ДЗМ", по адресу: г.Москва,      ул. Потешная 3</t>
  </si>
  <si>
    <t xml:space="preserve">                Ремонт фасада и входных групп 1-го корпуса, цоколя 5-го корпуса ГБУЗ "ПКБ №4 ДЗМ", по адресу: г. Москва,                  ул. Потешная, дом 3.</t>
  </si>
  <si>
    <t>Заместитель главного врача</t>
  </si>
  <si>
    <t>_______________ А.И. Музыка</t>
  </si>
  <si>
    <t xml:space="preserve">"_____"______________2026 г. </t>
  </si>
  <si>
    <t>______________А.И. Музыка</t>
  </si>
  <si>
    <t xml:space="preserve">"_____"____________2026 г. </t>
  </si>
  <si>
    <t>Начальник ОЭЗС и ИК ________________ А.З. Нуров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</si>
</sst>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#,##0.00;[Red]\-\ #,##0.00"/>
  </numFmts>
  <fonts count="13" x14ac:knownFonts="1">
    <font>
      <sz val="10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i/>
      <sz val="11"/>
      <name val="Arial"/>
      <family val="2"/>
      <charset val="204"/>
    </font>
    <font>
      <sz val="13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164" fontId="3" fillId="0" borderId="0" xfId="0" applyNumberFormat="1" applyFont="1"/>
    <xf numFmtId="1" fontId="3" fillId="0" borderId="0" xfId="0" applyNumberFormat="1" applyFont="1"/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0" fillId="0" borderId="0" xfId="0" applyFont="1" applyAlignment="1">
      <alignment horizontal="right"/>
    </xf>
    <xf numFmtId="0" fontId="0" fillId="0" borderId="6" xfId="0" applyBorder="1"/>
    <xf numFmtId="165" fontId="10" fillId="0" borderId="6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 wrapText="1"/>
    </xf>
    <xf numFmtId="0" fontId="3" fillId="0" borderId="0" xfId="0" quotePrefix="1" applyFont="1" applyAlignment="1">
      <alignment horizontal="right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3" xfId="0" quotePrefix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top" wrapText="1"/>
    </xf>
    <xf numFmtId="165" fontId="3" fillId="0" borderId="3" xfId="0" applyNumberFormat="1" applyFont="1" applyBorder="1" applyAlignment="1">
      <alignment horizontal="right" wrapText="1"/>
    </xf>
    <xf numFmtId="0" fontId="3" fillId="0" borderId="1" xfId="0" applyFont="1" applyBorder="1"/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5" fontId="10" fillId="0" borderId="6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wrapText="1"/>
    </xf>
    <xf numFmtId="0" fontId="3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0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right"/>
    </xf>
    <xf numFmtId="165" fontId="10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89"/>
  <sheetViews>
    <sheetView tabSelected="1" zoomScaleNormal="100" workbookViewId="0">
      <selection activeCell="C9" sqref="C9"/>
    </sheetView>
  </sheetViews>
  <sheetFormatPr defaultRowHeight="13.2" x14ac:dyDescent="0.25"/>
  <cols>
    <col min="1" max="1" width="5.5546875" customWidth="1"/>
    <col min="2" max="2" width="11.5546875" customWidth="1"/>
    <col min="3" max="3" width="40.5546875" customWidth="1"/>
    <col min="4" max="6" width="11.5546875" customWidth="1"/>
    <col min="7" max="11" width="12.5546875" customWidth="1"/>
    <col min="15" max="30" width="0" hidden="1" customWidth="1"/>
    <col min="31" max="31" width="152.5546875" hidden="1" customWidth="1"/>
    <col min="32" max="32" width="116.5546875" hidden="1" customWidth="1"/>
    <col min="33" max="36" width="0" hidden="1" customWidth="1"/>
  </cols>
  <sheetData>
    <row r="1" spans="1:11" x14ac:dyDescent="0.25">
      <c r="A1" s="1" t="s">
        <v>399</v>
      </c>
    </row>
    <row r="2" spans="1:11" ht="13.8" x14ac:dyDescent="0.25">
      <c r="A2" s="2"/>
      <c r="B2" s="2"/>
      <c r="C2" s="2"/>
      <c r="D2" s="2"/>
      <c r="E2" s="2"/>
      <c r="F2" s="2"/>
      <c r="G2" s="2"/>
      <c r="H2" s="2"/>
      <c r="I2" s="2"/>
      <c r="J2" s="44"/>
      <c r="K2" s="44"/>
    </row>
    <row r="3" spans="1:11" ht="16.8" x14ac:dyDescent="0.3">
      <c r="A3" s="4"/>
      <c r="B3" s="49" t="s">
        <v>286</v>
      </c>
      <c r="C3" s="49"/>
      <c r="D3" s="49"/>
      <c r="E3" s="49"/>
      <c r="F3" s="49" t="s">
        <v>287</v>
      </c>
      <c r="G3" s="49"/>
      <c r="H3" s="49"/>
      <c r="I3" s="49"/>
      <c r="J3" s="42"/>
      <c r="K3" s="42"/>
    </row>
    <row r="4" spans="1:11" ht="15" x14ac:dyDescent="0.25">
      <c r="A4" s="3"/>
      <c r="B4" s="50"/>
      <c r="C4" s="50"/>
      <c r="D4" s="50"/>
      <c r="E4" s="50"/>
      <c r="F4" s="82" t="s">
        <v>443</v>
      </c>
      <c r="G4" s="82"/>
      <c r="H4" s="82"/>
      <c r="I4" s="82"/>
      <c r="J4" s="3"/>
      <c r="K4" s="3"/>
    </row>
    <row r="5" spans="1:11" ht="15" x14ac:dyDescent="0.25">
      <c r="A5" s="3"/>
      <c r="B5" s="3"/>
      <c r="C5" s="5"/>
      <c r="D5" s="5"/>
      <c r="E5" s="5"/>
      <c r="F5" s="82" t="s">
        <v>439</v>
      </c>
      <c r="G5" s="82"/>
      <c r="H5" s="82"/>
      <c r="I5" s="82"/>
      <c r="J5" s="5"/>
      <c r="K5" s="5"/>
    </row>
    <row r="6" spans="1:11" ht="15" x14ac:dyDescent="0.25">
      <c r="A6" s="5"/>
      <c r="B6" s="50"/>
      <c r="C6" s="50"/>
      <c r="D6" s="50"/>
      <c r="E6" s="50"/>
      <c r="F6" s="82" t="s">
        <v>440</v>
      </c>
      <c r="G6" s="82"/>
      <c r="H6" s="82"/>
      <c r="I6" s="82"/>
      <c r="J6" s="3"/>
      <c r="K6" s="3"/>
    </row>
    <row r="7" spans="1:11" ht="15" x14ac:dyDescent="0.25">
      <c r="A7" s="5"/>
      <c r="B7" s="5"/>
      <c r="C7" s="5"/>
      <c r="D7" s="5"/>
      <c r="E7" s="5"/>
      <c r="F7" s="82" t="s">
        <v>444</v>
      </c>
      <c r="G7" s="82"/>
      <c r="H7" s="82"/>
      <c r="I7" s="82"/>
      <c r="J7" s="3"/>
      <c r="K7" s="3"/>
    </row>
    <row r="8" spans="1:11" ht="15.75" customHeight="1" x14ac:dyDescent="0.25">
      <c r="A8" s="6"/>
      <c r="B8" s="43"/>
      <c r="C8" s="43"/>
      <c r="D8" s="43"/>
      <c r="E8" s="43"/>
      <c r="F8" s="83" t="s">
        <v>445</v>
      </c>
      <c r="G8" s="83"/>
      <c r="H8" s="83"/>
      <c r="I8" s="83"/>
      <c r="J8" s="6"/>
      <c r="K8" s="6"/>
    </row>
    <row r="9" spans="1:11" x14ac:dyDescent="0.25">
      <c r="G9" s="51"/>
      <c r="H9" s="51"/>
    </row>
    <row r="10" spans="1:11" ht="13.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45" t="s">
        <v>400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</row>
    <row r="12" spans="1:11" x14ac:dyDescent="0.25">
      <c r="A12" s="47" t="s">
        <v>288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</row>
    <row r="13" spans="1:11" ht="13.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7.399999999999999" hidden="1" x14ac:dyDescent="0.3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ht="13.8" hidden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44.7" customHeight="1" x14ac:dyDescent="0.25">
      <c r="A16" s="53" t="s">
        <v>442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7" spans="1:11" x14ac:dyDescent="0.25">
      <c r="A17" s="47" t="s">
        <v>289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1" ht="13.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3.8" x14ac:dyDescent="0.25">
      <c r="A19" s="43" t="s">
        <v>401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 spans="1:11" ht="13.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3.8" x14ac:dyDescent="0.25">
      <c r="A21" s="3"/>
      <c r="B21" s="3"/>
      <c r="C21" s="3"/>
      <c r="D21" s="3"/>
      <c r="E21" s="3"/>
      <c r="F21" s="50" t="s">
        <v>290</v>
      </c>
      <c r="G21" s="50"/>
      <c r="H21" s="50"/>
      <c r="I21" s="52">
        <v>5471.09</v>
      </c>
      <c r="J21" s="44"/>
      <c r="K21" s="3" t="s">
        <v>291</v>
      </c>
    </row>
    <row r="22" spans="1:11" ht="13.8" hidden="1" x14ac:dyDescent="0.25">
      <c r="A22" s="3"/>
      <c r="B22" s="3"/>
      <c r="C22" s="3"/>
      <c r="D22" s="3"/>
      <c r="E22" s="3"/>
      <c r="F22" s="50" t="s">
        <v>292</v>
      </c>
      <c r="G22" s="50"/>
      <c r="H22" s="50"/>
      <c r="I22" s="52">
        <v>0</v>
      </c>
      <c r="J22" s="44"/>
      <c r="K22" s="3" t="s">
        <v>291</v>
      </c>
    </row>
    <row r="23" spans="1:11" ht="13.8" hidden="1" x14ac:dyDescent="0.25">
      <c r="A23" s="3"/>
      <c r="B23" s="3"/>
      <c r="C23" s="3"/>
      <c r="D23" s="3"/>
      <c r="E23" s="3"/>
      <c r="F23" s="50" t="s">
        <v>293</v>
      </c>
      <c r="G23" s="50"/>
      <c r="H23" s="50"/>
      <c r="I23" s="52">
        <v>0</v>
      </c>
      <c r="J23" s="44"/>
      <c r="K23" s="3" t="s">
        <v>291</v>
      </c>
    </row>
    <row r="24" spans="1:11" ht="13.8" hidden="1" x14ac:dyDescent="0.25">
      <c r="A24" s="3"/>
      <c r="B24" s="3"/>
      <c r="C24" s="3"/>
      <c r="D24" s="3"/>
      <c r="E24" s="3"/>
      <c r="F24" s="50" t="s">
        <v>294</v>
      </c>
      <c r="G24" s="50"/>
      <c r="H24" s="50"/>
      <c r="I24" s="52">
        <v>0</v>
      </c>
      <c r="J24" s="44"/>
      <c r="K24" s="3" t="s">
        <v>291</v>
      </c>
    </row>
    <row r="25" spans="1:11" ht="13.8" hidden="1" x14ac:dyDescent="0.25">
      <c r="A25" s="3"/>
      <c r="B25" s="3"/>
      <c r="C25" s="3"/>
      <c r="D25" s="3"/>
      <c r="E25" s="3"/>
      <c r="F25" s="50" t="s">
        <v>113</v>
      </c>
      <c r="G25" s="50"/>
      <c r="H25" s="50"/>
      <c r="I25" s="52">
        <v>5471.09</v>
      </c>
      <c r="J25" s="44"/>
      <c r="K25" s="3" t="s">
        <v>291</v>
      </c>
    </row>
    <row r="26" spans="1:11" ht="13.8" x14ac:dyDescent="0.25">
      <c r="A26" s="3"/>
      <c r="B26" s="3"/>
      <c r="C26" s="3"/>
      <c r="D26" s="3"/>
      <c r="E26" s="3"/>
      <c r="F26" s="50" t="s">
        <v>295</v>
      </c>
      <c r="G26" s="50"/>
      <c r="H26" s="50"/>
      <c r="I26" s="52">
        <v>2293.2896499999997</v>
      </c>
      <c r="J26" s="44"/>
      <c r="K26" s="3" t="s">
        <v>291</v>
      </c>
    </row>
    <row r="27" spans="1:11" ht="13.8" x14ac:dyDescent="0.25">
      <c r="A27" s="3" t="s">
        <v>309</v>
      </c>
      <c r="B27" s="3"/>
      <c r="C27" s="3"/>
      <c r="D27" s="7"/>
      <c r="E27" s="8"/>
      <c r="F27" s="3"/>
      <c r="G27" s="3"/>
      <c r="H27" s="3"/>
      <c r="I27" s="3"/>
      <c r="J27" s="3"/>
      <c r="K27" s="3"/>
    </row>
    <row r="28" spans="1:11" ht="14.4" x14ac:dyDescent="0.25">
      <c r="A28" s="55" t="s">
        <v>296</v>
      </c>
      <c r="B28" s="55" t="s">
        <v>297</v>
      </c>
      <c r="C28" s="55" t="s">
        <v>298</v>
      </c>
      <c r="D28" s="55" t="s">
        <v>299</v>
      </c>
      <c r="E28" s="55" t="s">
        <v>300</v>
      </c>
      <c r="F28" s="55" t="s">
        <v>301</v>
      </c>
      <c r="G28" s="55" t="s">
        <v>302</v>
      </c>
      <c r="H28" s="55" t="s">
        <v>303</v>
      </c>
      <c r="I28" s="55" t="s">
        <v>304</v>
      </c>
      <c r="J28" s="55" t="s">
        <v>305</v>
      </c>
      <c r="K28" s="10" t="s">
        <v>306</v>
      </c>
    </row>
    <row r="29" spans="1:11" ht="27.6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11" t="s">
        <v>307</v>
      </c>
    </row>
    <row r="30" spans="1:11" ht="27.6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11" t="s">
        <v>308</v>
      </c>
    </row>
    <row r="31" spans="1:11" ht="13.8" x14ac:dyDescent="0.25">
      <c r="A31" s="11">
        <v>1</v>
      </c>
      <c r="B31" s="11">
        <v>2</v>
      </c>
      <c r="C31" s="11">
        <v>3</v>
      </c>
      <c r="D31" s="11">
        <v>4</v>
      </c>
      <c r="E31" s="11">
        <v>5</v>
      </c>
      <c r="F31" s="11">
        <v>6</v>
      </c>
      <c r="G31" s="11">
        <v>7</v>
      </c>
      <c r="H31" s="11">
        <v>8</v>
      </c>
      <c r="I31" s="11">
        <v>9</v>
      </c>
      <c r="J31" s="11">
        <v>10</v>
      </c>
      <c r="K31" s="11">
        <v>11</v>
      </c>
    </row>
    <row r="33" spans="1:31" ht="16.8" x14ac:dyDescent="0.3">
      <c r="A33" s="57" t="s">
        <v>390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AE33" s="12" t="s">
        <v>390</v>
      </c>
    </row>
    <row r="35" spans="1:31" ht="16.8" x14ac:dyDescent="0.3">
      <c r="A35" s="57" t="s">
        <v>391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</row>
    <row r="37" spans="1:31" ht="16.8" x14ac:dyDescent="0.3">
      <c r="A37" s="57" t="s">
        <v>392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</row>
    <row r="38" spans="1:31" ht="55.2" x14ac:dyDescent="0.3">
      <c r="A38" s="13">
        <v>1</v>
      </c>
      <c r="B38" s="13" t="s">
        <v>2</v>
      </c>
      <c r="C38" s="13" t="s">
        <v>3</v>
      </c>
      <c r="D38" s="14" t="s">
        <v>4</v>
      </c>
      <c r="E38" s="2">
        <v>15.2827</v>
      </c>
      <c r="F38" s="16"/>
      <c r="G38" s="15"/>
      <c r="H38" s="2"/>
      <c r="I38" s="2"/>
      <c r="J38" s="16"/>
      <c r="K38" s="16"/>
      <c r="Q38">
        <v>299510.43</v>
      </c>
      <c r="R38">
        <v>299510.43</v>
      </c>
      <c r="S38">
        <v>42787.199999999997</v>
      </c>
      <c r="T38">
        <v>42787.199999999997</v>
      </c>
      <c r="U38">
        <v>0</v>
      </c>
      <c r="V38">
        <v>0</v>
      </c>
    </row>
    <row r="39" spans="1:31" x14ac:dyDescent="0.25">
      <c r="C39" s="17" t="s">
        <v>402</v>
      </c>
    </row>
    <row r="40" spans="1:31" ht="14.4" x14ac:dyDescent="0.3">
      <c r="A40" s="13"/>
      <c r="B40" s="13"/>
      <c r="C40" s="13" t="s">
        <v>310</v>
      </c>
      <c r="D40" s="14"/>
      <c r="E40" s="2"/>
      <c r="F40" s="16">
        <v>27997.15</v>
      </c>
      <c r="G40" s="15" t="s">
        <v>1</v>
      </c>
      <c r="H40" s="2">
        <v>1</v>
      </c>
      <c r="I40" s="2">
        <v>1</v>
      </c>
      <c r="J40" s="16">
        <v>427872.04</v>
      </c>
      <c r="K40" s="16"/>
    </row>
    <row r="41" spans="1:31" ht="14.4" x14ac:dyDescent="0.3">
      <c r="A41" s="13"/>
      <c r="B41" s="13"/>
      <c r="C41" s="13" t="s">
        <v>311</v>
      </c>
      <c r="D41" s="14"/>
      <c r="E41" s="2"/>
      <c r="F41" s="16">
        <v>92.26</v>
      </c>
      <c r="G41" s="15" t="s">
        <v>1</v>
      </c>
      <c r="H41" s="2">
        <v>1</v>
      </c>
      <c r="I41" s="2">
        <v>1</v>
      </c>
      <c r="J41" s="16">
        <v>1409.98</v>
      </c>
      <c r="K41" s="16"/>
    </row>
    <row r="42" spans="1:31" ht="14.4" x14ac:dyDescent="0.3">
      <c r="A42" s="13"/>
      <c r="B42" s="13"/>
      <c r="C42" s="13" t="s">
        <v>312</v>
      </c>
      <c r="D42" s="14" t="s">
        <v>313</v>
      </c>
      <c r="E42" s="2">
        <v>70</v>
      </c>
      <c r="F42" s="16"/>
      <c r="G42" s="15"/>
      <c r="H42" s="2"/>
      <c r="I42" s="2"/>
      <c r="J42" s="16">
        <v>299510.43</v>
      </c>
      <c r="K42" s="16"/>
    </row>
    <row r="43" spans="1:31" ht="14.4" x14ac:dyDescent="0.3">
      <c r="A43" s="13"/>
      <c r="B43" s="13"/>
      <c r="C43" s="13" t="s">
        <v>314</v>
      </c>
      <c r="D43" s="14" t="s">
        <v>313</v>
      </c>
      <c r="E43" s="2">
        <v>10</v>
      </c>
      <c r="F43" s="16"/>
      <c r="G43" s="15"/>
      <c r="H43" s="2"/>
      <c r="I43" s="2"/>
      <c r="J43" s="16">
        <v>42787.199999999997</v>
      </c>
      <c r="K43" s="16"/>
    </row>
    <row r="44" spans="1:31" ht="14.4" x14ac:dyDescent="0.3">
      <c r="A44" s="13"/>
      <c r="B44" s="13"/>
      <c r="C44" s="13" t="s">
        <v>315</v>
      </c>
      <c r="D44" s="14" t="s">
        <v>316</v>
      </c>
      <c r="E44" s="2">
        <v>52.78</v>
      </c>
      <c r="F44" s="16"/>
      <c r="G44" s="15" t="s">
        <v>1</v>
      </c>
      <c r="H44" s="2">
        <v>1</v>
      </c>
      <c r="I44" s="2"/>
      <c r="J44" s="16"/>
      <c r="K44" s="16">
        <v>806.62090599999999</v>
      </c>
    </row>
    <row r="45" spans="1:31" ht="13.8" x14ac:dyDescent="0.25">
      <c r="A45" s="20"/>
      <c r="B45" s="20"/>
      <c r="C45" s="20"/>
      <c r="D45" s="20"/>
      <c r="E45" s="20"/>
      <c r="F45" s="20"/>
      <c r="G45" s="20"/>
      <c r="H45" s="20"/>
      <c r="I45" s="58">
        <v>771579.64999999991</v>
      </c>
      <c r="J45" s="58"/>
      <c r="K45" s="21">
        <v>50487.13</v>
      </c>
      <c r="P45" s="18">
        <v>771579.64999999991</v>
      </c>
    </row>
    <row r="46" spans="1:31" ht="69" x14ac:dyDescent="0.3">
      <c r="A46" s="13">
        <v>2</v>
      </c>
      <c r="B46" s="13" t="s">
        <v>5</v>
      </c>
      <c r="C46" s="13" t="s">
        <v>6</v>
      </c>
      <c r="D46" s="14" t="s">
        <v>4</v>
      </c>
      <c r="E46" s="2">
        <v>3.8210000000000002</v>
      </c>
      <c r="F46" s="16"/>
      <c r="G46" s="15"/>
      <c r="H46" s="2"/>
      <c r="I46" s="2"/>
      <c r="J46" s="16"/>
      <c r="K46" s="16"/>
      <c r="Q46">
        <v>242312.39</v>
      </c>
      <c r="R46">
        <v>242312.39</v>
      </c>
      <c r="S46">
        <v>34616.06</v>
      </c>
      <c r="T46">
        <v>34616.06</v>
      </c>
      <c r="U46">
        <v>0</v>
      </c>
      <c r="V46">
        <v>0</v>
      </c>
    </row>
    <row r="47" spans="1:31" x14ac:dyDescent="0.25">
      <c r="C47" s="17" t="s">
        <v>403</v>
      </c>
    </row>
    <row r="48" spans="1:31" ht="14.4" x14ac:dyDescent="0.3">
      <c r="A48" s="13"/>
      <c r="B48" s="13"/>
      <c r="C48" s="13" t="s">
        <v>310</v>
      </c>
      <c r="D48" s="14"/>
      <c r="E48" s="2"/>
      <c r="F48" s="16">
        <v>90594.23</v>
      </c>
      <c r="G48" s="15" t="s">
        <v>1</v>
      </c>
      <c r="H48" s="2">
        <v>1</v>
      </c>
      <c r="I48" s="2">
        <v>1</v>
      </c>
      <c r="J48" s="16">
        <v>346160.55</v>
      </c>
      <c r="K48" s="16"/>
    </row>
    <row r="49" spans="1:22" ht="14.4" x14ac:dyDescent="0.3">
      <c r="A49" s="13"/>
      <c r="B49" s="13"/>
      <c r="C49" s="13" t="s">
        <v>311</v>
      </c>
      <c r="D49" s="14"/>
      <c r="E49" s="2"/>
      <c r="F49" s="16">
        <v>12845.49</v>
      </c>
      <c r="G49" s="15" t="s">
        <v>1</v>
      </c>
      <c r="H49" s="2">
        <v>1</v>
      </c>
      <c r="I49" s="2">
        <v>1</v>
      </c>
      <c r="J49" s="16">
        <v>49082.62</v>
      </c>
      <c r="K49" s="16"/>
    </row>
    <row r="50" spans="1:22" ht="14.4" x14ac:dyDescent="0.3">
      <c r="A50" s="13"/>
      <c r="B50" s="13"/>
      <c r="C50" s="13" t="s">
        <v>312</v>
      </c>
      <c r="D50" s="14" t="s">
        <v>313</v>
      </c>
      <c r="E50" s="2">
        <v>70</v>
      </c>
      <c r="F50" s="16"/>
      <c r="G50" s="15"/>
      <c r="H50" s="2"/>
      <c r="I50" s="2"/>
      <c r="J50" s="16">
        <v>242312.39</v>
      </c>
      <c r="K50" s="16"/>
    </row>
    <row r="51" spans="1:22" ht="14.4" x14ac:dyDescent="0.3">
      <c r="A51" s="13"/>
      <c r="B51" s="13"/>
      <c r="C51" s="13" t="s">
        <v>314</v>
      </c>
      <c r="D51" s="14" t="s">
        <v>313</v>
      </c>
      <c r="E51" s="2">
        <v>10</v>
      </c>
      <c r="F51" s="16"/>
      <c r="G51" s="15"/>
      <c r="H51" s="2"/>
      <c r="I51" s="2"/>
      <c r="J51" s="16">
        <v>34616.06</v>
      </c>
      <c r="K51" s="16"/>
    </row>
    <row r="52" spans="1:22" ht="14.4" x14ac:dyDescent="0.3">
      <c r="A52" s="13"/>
      <c r="B52" s="13"/>
      <c r="C52" s="13" t="s">
        <v>315</v>
      </c>
      <c r="D52" s="14" t="s">
        <v>316</v>
      </c>
      <c r="E52" s="2">
        <v>160.5</v>
      </c>
      <c r="F52" s="16"/>
      <c r="G52" s="15" t="s">
        <v>1</v>
      </c>
      <c r="H52" s="2">
        <v>1</v>
      </c>
      <c r="I52" s="2"/>
      <c r="J52" s="16"/>
      <c r="K52" s="16">
        <v>613.27050000000008</v>
      </c>
    </row>
    <row r="53" spans="1:22" ht="13.8" x14ac:dyDescent="0.25">
      <c r="A53" s="20"/>
      <c r="B53" s="20"/>
      <c r="C53" s="20"/>
      <c r="D53" s="20"/>
      <c r="E53" s="20"/>
      <c r="F53" s="20"/>
      <c r="G53" s="20"/>
      <c r="H53" s="20"/>
      <c r="I53" s="58">
        <v>672171.62000000011</v>
      </c>
      <c r="J53" s="58"/>
      <c r="K53" s="21">
        <v>175915.11</v>
      </c>
      <c r="P53" s="18">
        <v>672171.62000000011</v>
      </c>
    </row>
    <row r="54" spans="1:22" ht="41.4" x14ac:dyDescent="0.3">
      <c r="A54" s="13">
        <v>3</v>
      </c>
      <c r="B54" s="13" t="s">
        <v>7</v>
      </c>
      <c r="C54" s="13" t="s">
        <v>8</v>
      </c>
      <c r="D54" s="14" t="s">
        <v>4</v>
      </c>
      <c r="E54" s="2">
        <v>9.7460000000000004</v>
      </c>
      <c r="F54" s="16"/>
      <c r="G54" s="15"/>
      <c r="H54" s="2"/>
      <c r="I54" s="2"/>
      <c r="J54" s="16"/>
      <c r="K54" s="16"/>
      <c r="Q54">
        <v>81374.38</v>
      </c>
      <c r="R54">
        <v>81374.38</v>
      </c>
      <c r="S54">
        <v>11624.91</v>
      </c>
      <c r="T54">
        <v>11624.91</v>
      </c>
      <c r="U54">
        <v>0</v>
      </c>
      <c r="V54">
        <v>0</v>
      </c>
    </row>
    <row r="55" spans="1:22" x14ac:dyDescent="0.25">
      <c r="C55" s="17" t="s">
        <v>404</v>
      </c>
    </row>
    <row r="56" spans="1:22" ht="14.4" x14ac:dyDescent="0.3">
      <c r="A56" s="13"/>
      <c r="B56" s="13"/>
      <c r="C56" s="13" t="s">
        <v>310</v>
      </c>
      <c r="D56" s="14"/>
      <c r="E56" s="2"/>
      <c r="F56" s="16">
        <v>11927.88</v>
      </c>
      <c r="G56" s="15" t="s">
        <v>1</v>
      </c>
      <c r="H56" s="2">
        <v>1</v>
      </c>
      <c r="I56" s="2">
        <v>1</v>
      </c>
      <c r="J56" s="16">
        <v>116249.12</v>
      </c>
      <c r="K56" s="16"/>
    </row>
    <row r="57" spans="1:22" ht="14.4" x14ac:dyDescent="0.3">
      <c r="A57" s="13"/>
      <c r="B57" s="13"/>
      <c r="C57" s="13" t="s">
        <v>312</v>
      </c>
      <c r="D57" s="14" t="s">
        <v>313</v>
      </c>
      <c r="E57" s="2">
        <v>70</v>
      </c>
      <c r="F57" s="16"/>
      <c r="G57" s="15"/>
      <c r="H57" s="2"/>
      <c r="I57" s="2"/>
      <c r="J57" s="16">
        <v>81374.38</v>
      </c>
      <c r="K57" s="16"/>
    </row>
    <row r="58" spans="1:22" ht="14.4" x14ac:dyDescent="0.3">
      <c r="A58" s="13"/>
      <c r="B58" s="13"/>
      <c r="C58" s="13" t="s">
        <v>314</v>
      </c>
      <c r="D58" s="14" t="s">
        <v>313</v>
      </c>
      <c r="E58" s="2">
        <v>10</v>
      </c>
      <c r="F58" s="16"/>
      <c r="G58" s="15"/>
      <c r="H58" s="2"/>
      <c r="I58" s="2"/>
      <c r="J58" s="16">
        <v>11624.91</v>
      </c>
      <c r="K58" s="16"/>
    </row>
    <row r="59" spans="1:22" ht="14.4" x14ac:dyDescent="0.3">
      <c r="A59" s="13"/>
      <c r="B59" s="13"/>
      <c r="C59" s="13" t="s">
        <v>315</v>
      </c>
      <c r="D59" s="14" t="s">
        <v>316</v>
      </c>
      <c r="E59" s="2">
        <v>25.7</v>
      </c>
      <c r="F59" s="16"/>
      <c r="G59" s="15" t="s">
        <v>1</v>
      </c>
      <c r="H59" s="2">
        <v>1</v>
      </c>
      <c r="I59" s="2"/>
      <c r="J59" s="16"/>
      <c r="K59" s="16">
        <v>250.47220000000002</v>
      </c>
    </row>
    <row r="60" spans="1:22" ht="13.8" x14ac:dyDescent="0.25">
      <c r="A60" s="20"/>
      <c r="B60" s="20"/>
      <c r="C60" s="20"/>
      <c r="D60" s="20"/>
      <c r="E60" s="20"/>
      <c r="F60" s="20"/>
      <c r="G60" s="20"/>
      <c r="H60" s="20"/>
      <c r="I60" s="58">
        <v>209248.41</v>
      </c>
      <c r="J60" s="58"/>
      <c r="K60" s="21">
        <v>21470.18</v>
      </c>
      <c r="P60" s="18">
        <v>209248.41</v>
      </c>
    </row>
    <row r="61" spans="1:22" ht="69" x14ac:dyDescent="0.3">
      <c r="A61" s="13">
        <v>4</v>
      </c>
      <c r="B61" s="13" t="s">
        <v>9</v>
      </c>
      <c r="C61" s="13" t="s">
        <v>10</v>
      </c>
      <c r="D61" s="14" t="s">
        <v>4</v>
      </c>
      <c r="E61" s="2">
        <v>3.8210999999999999</v>
      </c>
      <c r="F61" s="16"/>
      <c r="G61" s="15"/>
      <c r="H61" s="2"/>
      <c r="I61" s="2"/>
      <c r="J61" s="16"/>
      <c r="K61" s="16"/>
      <c r="Q61">
        <v>21631.96</v>
      </c>
      <c r="R61">
        <v>21631.96</v>
      </c>
      <c r="S61">
        <v>3090.28</v>
      </c>
      <c r="T61">
        <v>3090.28</v>
      </c>
      <c r="U61">
        <v>0</v>
      </c>
      <c r="V61">
        <v>0</v>
      </c>
    </row>
    <row r="62" spans="1:22" x14ac:dyDescent="0.25">
      <c r="C62" s="17" t="s">
        <v>405</v>
      </c>
    </row>
    <row r="63" spans="1:22" ht="14.4" x14ac:dyDescent="0.3">
      <c r="A63" s="13"/>
      <c r="B63" s="13"/>
      <c r="C63" s="13" t="s">
        <v>310</v>
      </c>
      <c r="D63" s="14"/>
      <c r="E63" s="2"/>
      <c r="F63" s="16">
        <v>8087.41</v>
      </c>
      <c r="G63" s="15" t="s">
        <v>1</v>
      </c>
      <c r="H63" s="2">
        <v>1</v>
      </c>
      <c r="I63" s="2">
        <v>1</v>
      </c>
      <c r="J63" s="16">
        <v>30902.799999999999</v>
      </c>
      <c r="K63" s="16"/>
    </row>
    <row r="64" spans="1:22" ht="14.4" x14ac:dyDescent="0.3">
      <c r="A64" s="13"/>
      <c r="B64" s="13"/>
      <c r="C64" s="13" t="s">
        <v>311</v>
      </c>
      <c r="D64" s="14"/>
      <c r="E64" s="2"/>
      <c r="F64" s="16">
        <v>13966.11</v>
      </c>
      <c r="G64" s="15" t="s">
        <v>1</v>
      </c>
      <c r="H64" s="2">
        <v>1</v>
      </c>
      <c r="I64" s="2">
        <v>1</v>
      </c>
      <c r="J64" s="16">
        <v>53365.9</v>
      </c>
      <c r="K64" s="16"/>
    </row>
    <row r="65" spans="1:22" ht="14.4" x14ac:dyDescent="0.3">
      <c r="A65" s="13"/>
      <c r="B65" s="13"/>
      <c r="C65" s="13" t="s">
        <v>312</v>
      </c>
      <c r="D65" s="14" t="s">
        <v>313</v>
      </c>
      <c r="E65" s="2">
        <v>70</v>
      </c>
      <c r="F65" s="16"/>
      <c r="G65" s="15"/>
      <c r="H65" s="2"/>
      <c r="I65" s="2"/>
      <c r="J65" s="16">
        <v>21631.96</v>
      </c>
      <c r="K65" s="16"/>
    </row>
    <row r="66" spans="1:22" ht="14.4" x14ac:dyDescent="0.3">
      <c r="A66" s="13"/>
      <c r="B66" s="13"/>
      <c r="C66" s="13" t="s">
        <v>314</v>
      </c>
      <c r="D66" s="14" t="s">
        <v>313</v>
      </c>
      <c r="E66" s="2">
        <v>10</v>
      </c>
      <c r="F66" s="16"/>
      <c r="G66" s="15"/>
      <c r="H66" s="2"/>
      <c r="I66" s="2"/>
      <c r="J66" s="16">
        <v>3090.28</v>
      </c>
      <c r="K66" s="16"/>
    </row>
    <row r="67" spans="1:22" ht="14.4" x14ac:dyDescent="0.3">
      <c r="A67" s="13"/>
      <c r="B67" s="13"/>
      <c r="C67" s="13" t="s">
        <v>315</v>
      </c>
      <c r="D67" s="14" t="s">
        <v>316</v>
      </c>
      <c r="E67" s="2">
        <v>13.91</v>
      </c>
      <c r="F67" s="16"/>
      <c r="G67" s="15" t="s">
        <v>1</v>
      </c>
      <c r="H67" s="2">
        <v>1</v>
      </c>
      <c r="I67" s="2"/>
      <c r="J67" s="16"/>
      <c r="K67" s="16">
        <v>53.151501000000003</v>
      </c>
    </row>
    <row r="68" spans="1:22" ht="13.8" x14ac:dyDescent="0.25">
      <c r="A68" s="20"/>
      <c r="B68" s="20"/>
      <c r="C68" s="20"/>
      <c r="D68" s="20"/>
      <c r="E68" s="20"/>
      <c r="F68" s="20"/>
      <c r="G68" s="20"/>
      <c r="H68" s="20"/>
      <c r="I68" s="58">
        <v>108990.94</v>
      </c>
      <c r="J68" s="58"/>
      <c r="K68" s="21">
        <v>28523.45</v>
      </c>
      <c r="P68" s="18">
        <v>108990.94</v>
      </c>
    </row>
    <row r="69" spans="1:22" ht="27.6" x14ac:dyDescent="0.3">
      <c r="A69" s="13">
        <v>5</v>
      </c>
      <c r="B69" s="13" t="s">
        <v>11</v>
      </c>
      <c r="C69" s="13" t="s">
        <v>12</v>
      </c>
      <c r="D69" s="14" t="s">
        <v>4</v>
      </c>
      <c r="E69" s="2">
        <v>13.567</v>
      </c>
      <c r="F69" s="16"/>
      <c r="G69" s="15"/>
      <c r="H69" s="2"/>
      <c r="I69" s="2"/>
      <c r="J69" s="16"/>
      <c r="K69" s="16"/>
      <c r="Q69">
        <v>422003.68</v>
      </c>
      <c r="R69">
        <v>422003.68</v>
      </c>
      <c r="S69">
        <v>60286.239999999998</v>
      </c>
      <c r="T69">
        <v>60286.239999999998</v>
      </c>
      <c r="U69">
        <v>52704.94</v>
      </c>
      <c r="V69">
        <v>32526.48</v>
      </c>
    </row>
    <row r="70" spans="1:22" x14ac:dyDescent="0.25">
      <c r="C70" s="17" t="s">
        <v>406</v>
      </c>
    </row>
    <row r="71" spans="1:22" ht="14.4" x14ac:dyDescent="0.3">
      <c r="A71" s="13"/>
      <c r="B71" s="13"/>
      <c r="C71" s="13" t="s">
        <v>310</v>
      </c>
      <c r="D71" s="14"/>
      <c r="E71" s="2"/>
      <c r="F71" s="16">
        <v>44435.94</v>
      </c>
      <c r="G71" s="15" t="s">
        <v>1</v>
      </c>
      <c r="H71" s="2">
        <v>1</v>
      </c>
      <c r="I71" s="2">
        <v>1</v>
      </c>
      <c r="J71" s="16">
        <v>602862.4</v>
      </c>
      <c r="K71" s="16"/>
    </row>
    <row r="72" spans="1:22" ht="14.4" x14ac:dyDescent="0.3">
      <c r="A72" s="13"/>
      <c r="B72" s="13"/>
      <c r="C72" s="13" t="s">
        <v>317</v>
      </c>
      <c r="D72" s="14"/>
      <c r="E72" s="2"/>
      <c r="F72" s="16">
        <v>2500.98</v>
      </c>
      <c r="G72" s="15" t="s">
        <v>1</v>
      </c>
      <c r="H72" s="2">
        <v>1</v>
      </c>
      <c r="I72" s="2">
        <v>1</v>
      </c>
      <c r="J72" s="16">
        <v>33930.800000000003</v>
      </c>
      <c r="K72" s="16"/>
    </row>
    <row r="73" spans="1:22" ht="14.4" x14ac:dyDescent="0.3">
      <c r="A73" s="13"/>
      <c r="B73" s="13"/>
      <c r="C73" s="13" t="s">
        <v>318</v>
      </c>
      <c r="D73" s="14"/>
      <c r="E73" s="2"/>
      <c r="F73" s="16">
        <v>2219.88</v>
      </c>
      <c r="G73" s="15" t="s">
        <v>1</v>
      </c>
      <c r="H73" s="2">
        <v>1</v>
      </c>
      <c r="I73" s="2">
        <v>1</v>
      </c>
      <c r="J73" s="22">
        <v>30117.11</v>
      </c>
      <c r="K73" s="16"/>
    </row>
    <row r="74" spans="1:22" ht="14.4" x14ac:dyDescent="0.3">
      <c r="A74" s="13"/>
      <c r="B74" s="13"/>
      <c r="C74" s="13" t="s">
        <v>311</v>
      </c>
      <c r="D74" s="14"/>
      <c r="E74" s="2"/>
      <c r="F74" s="16">
        <v>15006.72</v>
      </c>
      <c r="G74" s="15" t="s">
        <v>1</v>
      </c>
      <c r="H74" s="2">
        <v>1</v>
      </c>
      <c r="I74" s="2">
        <v>1</v>
      </c>
      <c r="J74" s="16">
        <v>203596.17</v>
      </c>
      <c r="K74" s="16"/>
    </row>
    <row r="75" spans="1:22" ht="14.4" x14ac:dyDescent="0.3">
      <c r="A75" s="13"/>
      <c r="B75" s="13"/>
      <c r="C75" s="13" t="s">
        <v>312</v>
      </c>
      <c r="D75" s="14" t="s">
        <v>313</v>
      </c>
      <c r="E75" s="2">
        <v>70</v>
      </c>
      <c r="F75" s="16"/>
      <c r="G75" s="15"/>
      <c r="H75" s="2"/>
      <c r="I75" s="2"/>
      <c r="J75" s="16">
        <v>422003.68</v>
      </c>
      <c r="K75" s="16"/>
    </row>
    <row r="76" spans="1:22" ht="14.4" x14ac:dyDescent="0.3">
      <c r="A76" s="13"/>
      <c r="B76" s="13"/>
      <c r="C76" s="13" t="s">
        <v>314</v>
      </c>
      <c r="D76" s="14" t="s">
        <v>313</v>
      </c>
      <c r="E76" s="2">
        <v>10</v>
      </c>
      <c r="F76" s="16"/>
      <c r="G76" s="15"/>
      <c r="H76" s="2"/>
      <c r="I76" s="2"/>
      <c r="J76" s="16">
        <v>60286.239999999998</v>
      </c>
      <c r="K76" s="16"/>
    </row>
    <row r="77" spans="1:22" ht="14.4" x14ac:dyDescent="0.3">
      <c r="A77" s="13"/>
      <c r="B77" s="13"/>
      <c r="C77" s="13" t="s">
        <v>319</v>
      </c>
      <c r="D77" s="14" t="s">
        <v>313</v>
      </c>
      <c r="E77" s="2">
        <v>108</v>
      </c>
      <c r="F77" s="16"/>
      <c r="G77" s="15"/>
      <c r="H77" s="2"/>
      <c r="I77" s="2"/>
      <c r="J77" s="16">
        <v>32526.48</v>
      </c>
      <c r="K77" s="16"/>
    </row>
    <row r="78" spans="1:22" ht="14.4" x14ac:dyDescent="0.3">
      <c r="A78" s="13"/>
      <c r="B78" s="13"/>
      <c r="C78" s="13" t="s">
        <v>315</v>
      </c>
      <c r="D78" s="14" t="s">
        <v>316</v>
      </c>
      <c r="E78" s="2">
        <v>70.260000000000005</v>
      </c>
      <c r="F78" s="16"/>
      <c r="G78" s="15" t="s">
        <v>1</v>
      </c>
      <c r="H78" s="2">
        <v>1</v>
      </c>
      <c r="I78" s="2"/>
      <c r="J78" s="16"/>
      <c r="K78" s="16">
        <v>953.21742000000006</v>
      </c>
    </row>
    <row r="79" spans="1:22" ht="13.8" x14ac:dyDescent="0.25">
      <c r="A79" s="20"/>
      <c r="B79" s="20"/>
      <c r="C79" s="20"/>
      <c r="D79" s="20"/>
      <c r="E79" s="20"/>
      <c r="F79" s="20"/>
      <c r="G79" s="20"/>
      <c r="H79" s="20"/>
      <c r="I79" s="58">
        <v>1355205.77</v>
      </c>
      <c r="J79" s="58"/>
      <c r="K79" s="21">
        <v>99889.86</v>
      </c>
      <c r="P79" s="18">
        <v>1355205.77</v>
      </c>
    </row>
    <row r="80" spans="1:22" ht="41.4" x14ac:dyDescent="0.3">
      <c r="A80" s="13">
        <v>6</v>
      </c>
      <c r="B80" s="13" t="s">
        <v>13</v>
      </c>
      <c r="C80" s="13" t="s">
        <v>14</v>
      </c>
      <c r="D80" s="14" t="s">
        <v>4</v>
      </c>
      <c r="E80" s="2">
        <v>13.567</v>
      </c>
      <c r="F80" s="16"/>
      <c r="G80" s="15"/>
      <c r="H80" s="2"/>
      <c r="I80" s="2"/>
      <c r="J80" s="16"/>
      <c r="K80" s="16"/>
      <c r="Q80">
        <v>95258.559999999998</v>
      </c>
      <c r="R80">
        <v>95258.559999999998</v>
      </c>
      <c r="S80">
        <v>13608.37</v>
      </c>
      <c r="T80">
        <v>13608.37</v>
      </c>
      <c r="U80">
        <v>0.72</v>
      </c>
      <c r="V80">
        <v>0.44</v>
      </c>
    </row>
    <row r="81" spans="1:22" x14ac:dyDescent="0.25">
      <c r="C81" s="17" t="s">
        <v>406</v>
      </c>
    </row>
    <row r="82" spans="1:22" ht="14.4" x14ac:dyDescent="0.3">
      <c r="A82" s="13"/>
      <c r="B82" s="13"/>
      <c r="C82" s="13" t="s">
        <v>310</v>
      </c>
      <c r="D82" s="14"/>
      <c r="E82" s="2"/>
      <c r="F82" s="16">
        <v>10030.49</v>
      </c>
      <c r="G82" s="15" t="s">
        <v>1</v>
      </c>
      <c r="H82" s="2">
        <v>1</v>
      </c>
      <c r="I82" s="2">
        <v>1</v>
      </c>
      <c r="J82" s="16">
        <v>136083.66</v>
      </c>
      <c r="K82" s="16"/>
    </row>
    <row r="83" spans="1:22" ht="14.4" x14ac:dyDescent="0.3">
      <c r="A83" s="13"/>
      <c r="B83" s="13"/>
      <c r="C83" s="13" t="s">
        <v>317</v>
      </c>
      <c r="D83" s="14"/>
      <c r="E83" s="2"/>
      <c r="F83" s="16">
        <v>8.3000000000000007</v>
      </c>
      <c r="G83" s="15" t="s">
        <v>1</v>
      </c>
      <c r="H83" s="2">
        <v>1</v>
      </c>
      <c r="I83" s="2">
        <v>1</v>
      </c>
      <c r="J83" s="16">
        <v>112.61</v>
      </c>
      <c r="K83" s="16"/>
    </row>
    <row r="84" spans="1:22" ht="14.4" x14ac:dyDescent="0.3">
      <c r="A84" s="13"/>
      <c r="B84" s="13"/>
      <c r="C84" s="13" t="s">
        <v>318</v>
      </c>
      <c r="D84" s="14"/>
      <c r="E84" s="2"/>
      <c r="F84" s="16">
        <v>0.03</v>
      </c>
      <c r="G84" s="15" t="s">
        <v>1</v>
      </c>
      <c r="H84" s="2">
        <v>1</v>
      </c>
      <c r="I84" s="2">
        <v>1</v>
      </c>
      <c r="J84" s="22">
        <v>0.41</v>
      </c>
      <c r="K84" s="16"/>
    </row>
    <row r="85" spans="1:22" ht="14.4" x14ac:dyDescent="0.3">
      <c r="A85" s="13"/>
      <c r="B85" s="13"/>
      <c r="C85" s="13" t="s">
        <v>311</v>
      </c>
      <c r="D85" s="14"/>
      <c r="E85" s="2"/>
      <c r="F85" s="16">
        <v>16447.689999999999</v>
      </c>
      <c r="G85" s="15" t="s">
        <v>1</v>
      </c>
      <c r="H85" s="2">
        <v>1</v>
      </c>
      <c r="I85" s="2">
        <v>1</v>
      </c>
      <c r="J85" s="16">
        <v>223145.81</v>
      </c>
      <c r="K85" s="16"/>
    </row>
    <row r="86" spans="1:22" ht="14.4" x14ac:dyDescent="0.3">
      <c r="A86" s="13"/>
      <c r="B86" s="13"/>
      <c r="C86" s="13" t="s">
        <v>312</v>
      </c>
      <c r="D86" s="14" t="s">
        <v>313</v>
      </c>
      <c r="E86" s="2">
        <v>70</v>
      </c>
      <c r="F86" s="16"/>
      <c r="G86" s="15"/>
      <c r="H86" s="2"/>
      <c r="I86" s="2"/>
      <c r="J86" s="16">
        <v>95258.559999999998</v>
      </c>
      <c r="K86" s="16"/>
    </row>
    <row r="87" spans="1:22" ht="14.4" x14ac:dyDescent="0.3">
      <c r="A87" s="13"/>
      <c r="B87" s="13"/>
      <c r="C87" s="13" t="s">
        <v>314</v>
      </c>
      <c r="D87" s="14" t="s">
        <v>313</v>
      </c>
      <c r="E87" s="2">
        <v>10</v>
      </c>
      <c r="F87" s="16"/>
      <c r="G87" s="15"/>
      <c r="H87" s="2"/>
      <c r="I87" s="2"/>
      <c r="J87" s="16">
        <v>13608.37</v>
      </c>
      <c r="K87" s="16"/>
    </row>
    <row r="88" spans="1:22" ht="14.4" x14ac:dyDescent="0.3">
      <c r="A88" s="13"/>
      <c r="B88" s="13"/>
      <c r="C88" s="13" t="s">
        <v>319</v>
      </c>
      <c r="D88" s="14" t="s">
        <v>313</v>
      </c>
      <c r="E88" s="2">
        <v>108</v>
      </c>
      <c r="F88" s="16"/>
      <c r="G88" s="15"/>
      <c r="H88" s="2"/>
      <c r="I88" s="2"/>
      <c r="J88" s="16">
        <v>0.44</v>
      </c>
      <c r="K88" s="16"/>
    </row>
    <row r="89" spans="1:22" ht="14.4" x14ac:dyDescent="0.3">
      <c r="A89" s="13"/>
      <c r="B89" s="13"/>
      <c r="C89" s="13" t="s">
        <v>315</v>
      </c>
      <c r="D89" s="14" t="s">
        <v>316</v>
      </c>
      <c r="E89" s="2">
        <v>15.18</v>
      </c>
      <c r="F89" s="16"/>
      <c r="G89" s="15" t="s">
        <v>1</v>
      </c>
      <c r="H89" s="2">
        <v>1</v>
      </c>
      <c r="I89" s="2"/>
      <c r="J89" s="16"/>
      <c r="K89" s="16">
        <v>205.94705999999999</v>
      </c>
    </row>
    <row r="90" spans="1:22" ht="13.8" x14ac:dyDescent="0.25">
      <c r="A90" s="20"/>
      <c r="B90" s="20"/>
      <c r="C90" s="20"/>
      <c r="D90" s="20"/>
      <c r="E90" s="20"/>
      <c r="F90" s="20"/>
      <c r="G90" s="20"/>
      <c r="H90" s="20"/>
      <c r="I90" s="58">
        <v>468209.44999999995</v>
      </c>
      <c r="J90" s="58"/>
      <c r="K90" s="21">
        <v>34510.910000000003</v>
      </c>
      <c r="P90" s="18">
        <v>468209.44999999995</v>
      </c>
    </row>
    <row r="91" spans="1:22" ht="41.4" x14ac:dyDescent="0.3">
      <c r="A91" s="13">
        <v>7</v>
      </c>
      <c r="B91" s="13" t="s">
        <v>15</v>
      </c>
      <c r="C91" s="13" t="s">
        <v>16</v>
      </c>
      <c r="D91" s="14" t="s">
        <v>17</v>
      </c>
      <c r="E91" s="2">
        <v>1.24</v>
      </c>
      <c r="F91" s="16"/>
      <c r="G91" s="15"/>
      <c r="H91" s="2"/>
      <c r="I91" s="2"/>
      <c r="J91" s="16"/>
      <c r="K91" s="16"/>
      <c r="Q91">
        <v>16682.27</v>
      </c>
      <c r="R91">
        <v>16682.27</v>
      </c>
      <c r="S91">
        <v>2383.1799999999998</v>
      </c>
      <c r="T91">
        <v>2383.1799999999998</v>
      </c>
      <c r="U91">
        <v>0</v>
      </c>
      <c r="V91">
        <v>0</v>
      </c>
    </row>
    <row r="92" spans="1:22" x14ac:dyDescent="0.25">
      <c r="C92" s="17" t="s">
        <v>407</v>
      </c>
    </row>
    <row r="93" spans="1:22" ht="14.4" x14ac:dyDescent="0.3">
      <c r="A93" s="13"/>
      <c r="B93" s="13"/>
      <c r="C93" s="13" t="s">
        <v>310</v>
      </c>
      <c r="D93" s="14"/>
      <c r="E93" s="2"/>
      <c r="F93" s="16">
        <v>19219.21</v>
      </c>
      <c r="G93" s="15" t="s">
        <v>1</v>
      </c>
      <c r="H93" s="2">
        <v>1</v>
      </c>
      <c r="I93" s="2">
        <v>1</v>
      </c>
      <c r="J93" s="16">
        <v>23831.82</v>
      </c>
      <c r="K93" s="16"/>
    </row>
    <row r="94" spans="1:22" ht="14.4" x14ac:dyDescent="0.3">
      <c r="A94" s="13"/>
      <c r="B94" s="13"/>
      <c r="C94" s="13" t="s">
        <v>311</v>
      </c>
      <c r="D94" s="14"/>
      <c r="E94" s="2"/>
      <c r="F94" s="16">
        <v>17523.11</v>
      </c>
      <c r="G94" s="15" t="s">
        <v>1</v>
      </c>
      <c r="H94" s="2">
        <v>1</v>
      </c>
      <c r="I94" s="2">
        <v>1</v>
      </c>
      <c r="J94" s="16">
        <v>21728.66</v>
      </c>
      <c r="K94" s="16"/>
    </row>
    <row r="95" spans="1:22" ht="14.4" x14ac:dyDescent="0.3">
      <c r="A95" s="13"/>
      <c r="B95" s="13"/>
      <c r="C95" s="13" t="s">
        <v>312</v>
      </c>
      <c r="D95" s="14" t="s">
        <v>313</v>
      </c>
      <c r="E95" s="2">
        <v>70</v>
      </c>
      <c r="F95" s="16"/>
      <c r="G95" s="15"/>
      <c r="H95" s="2"/>
      <c r="I95" s="2"/>
      <c r="J95" s="16">
        <v>16682.27</v>
      </c>
      <c r="K95" s="16"/>
    </row>
    <row r="96" spans="1:22" ht="14.4" x14ac:dyDescent="0.3">
      <c r="A96" s="13"/>
      <c r="B96" s="13"/>
      <c r="C96" s="13" t="s">
        <v>314</v>
      </c>
      <c r="D96" s="14" t="s">
        <v>313</v>
      </c>
      <c r="E96" s="2">
        <v>10</v>
      </c>
      <c r="F96" s="16"/>
      <c r="G96" s="15"/>
      <c r="H96" s="2"/>
      <c r="I96" s="2"/>
      <c r="J96" s="16">
        <v>2383.1799999999998</v>
      </c>
      <c r="K96" s="16"/>
    </row>
    <row r="97" spans="1:22" ht="14.4" x14ac:dyDescent="0.3">
      <c r="A97" s="13"/>
      <c r="B97" s="13"/>
      <c r="C97" s="13" t="s">
        <v>315</v>
      </c>
      <c r="D97" s="14" t="s">
        <v>316</v>
      </c>
      <c r="E97" s="2">
        <v>41.41</v>
      </c>
      <c r="F97" s="16"/>
      <c r="G97" s="15" t="s">
        <v>1</v>
      </c>
      <c r="H97" s="2">
        <v>1</v>
      </c>
      <c r="I97" s="2"/>
      <c r="J97" s="16"/>
      <c r="K97" s="16">
        <v>51.348399999999998</v>
      </c>
    </row>
    <row r="98" spans="1:22" ht="13.8" x14ac:dyDescent="0.25">
      <c r="A98" s="20"/>
      <c r="B98" s="20"/>
      <c r="C98" s="20"/>
      <c r="D98" s="20"/>
      <c r="E98" s="20"/>
      <c r="F98" s="20"/>
      <c r="G98" s="20"/>
      <c r="H98" s="20"/>
      <c r="I98" s="58">
        <v>64625.93</v>
      </c>
      <c r="J98" s="58"/>
      <c r="K98" s="21">
        <v>52117.69</v>
      </c>
      <c r="P98" s="18">
        <v>64625.93</v>
      </c>
    </row>
    <row r="100" spans="1:22" ht="13.8" x14ac:dyDescent="0.25">
      <c r="A100" s="61" t="s">
        <v>408</v>
      </c>
      <c r="B100" s="61"/>
      <c r="C100" s="61"/>
      <c r="D100" s="61"/>
      <c r="E100" s="61"/>
      <c r="F100" s="61"/>
      <c r="G100" s="61"/>
      <c r="H100" s="61"/>
      <c r="I100" s="59">
        <v>3650031.77</v>
      </c>
      <c r="J100" s="60"/>
      <c r="K100" s="23"/>
    </row>
    <row r="103" spans="1:22" ht="16.8" x14ac:dyDescent="0.3">
      <c r="A103" s="57" t="s">
        <v>393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1:22" ht="80.400000000000006" x14ac:dyDescent="0.3">
      <c r="A104" s="13">
        <v>8</v>
      </c>
      <c r="B104" s="13" t="s">
        <v>320</v>
      </c>
      <c r="C104" s="13" t="s">
        <v>18</v>
      </c>
      <c r="D104" s="14" t="s">
        <v>4</v>
      </c>
      <c r="E104" s="2">
        <v>9.5000000000000001E-2</v>
      </c>
      <c r="F104" s="16"/>
      <c r="G104" s="15"/>
      <c r="H104" s="2"/>
      <c r="I104" s="2"/>
      <c r="J104" s="16"/>
      <c r="K104" s="16"/>
      <c r="Q104">
        <v>1447.21</v>
      </c>
      <c r="R104">
        <v>1447.21</v>
      </c>
      <c r="S104">
        <v>206.74</v>
      </c>
      <c r="T104">
        <v>206.74</v>
      </c>
      <c r="U104">
        <v>0.02</v>
      </c>
      <c r="V104">
        <v>0.01</v>
      </c>
    </row>
    <row r="105" spans="1:22" x14ac:dyDescent="0.25">
      <c r="C105" s="17" t="s">
        <v>409</v>
      </c>
    </row>
    <row r="106" spans="1:22" ht="14.4" x14ac:dyDescent="0.3">
      <c r="A106" s="13"/>
      <c r="B106" s="13"/>
      <c r="C106" s="13" t="s">
        <v>310</v>
      </c>
      <c r="D106" s="14"/>
      <c r="E106" s="2"/>
      <c r="F106" s="16">
        <v>36270.910000000003</v>
      </c>
      <c r="G106" s="15" t="s">
        <v>19</v>
      </c>
      <c r="H106" s="2">
        <v>1</v>
      </c>
      <c r="I106" s="2">
        <v>1</v>
      </c>
      <c r="J106" s="16">
        <v>2067.44</v>
      </c>
      <c r="K106" s="16"/>
    </row>
    <row r="107" spans="1:22" ht="14.4" x14ac:dyDescent="0.3">
      <c r="A107" s="13"/>
      <c r="B107" s="13"/>
      <c r="C107" s="13" t="s">
        <v>317</v>
      </c>
      <c r="D107" s="14"/>
      <c r="E107" s="2"/>
      <c r="F107" s="16">
        <v>35.68</v>
      </c>
      <c r="G107" s="15" t="s">
        <v>19</v>
      </c>
      <c r="H107" s="2">
        <v>1</v>
      </c>
      <c r="I107" s="2">
        <v>1</v>
      </c>
      <c r="J107" s="16">
        <v>2.0299999999999998</v>
      </c>
      <c r="K107" s="16"/>
    </row>
    <row r="108" spans="1:22" ht="14.4" x14ac:dyDescent="0.3">
      <c r="A108" s="13"/>
      <c r="B108" s="13"/>
      <c r="C108" s="13" t="s">
        <v>318</v>
      </c>
      <c r="D108" s="14"/>
      <c r="E108" s="2"/>
      <c r="F108" s="16">
        <v>0.19</v>
      </c>
      <c r="G108" s="15" t="s">
        <v>19</v>
      </c>
      <c r="H108" s="2">
        <v>1</v>
      </c>
      <c r="I108" s="2">
        <v>1</v>
      </c>
      <c r="J108" s="22">
        <v>0.01</v>
      </c>
      <c r="K108" s="16"/>
    </row>
    <row r="109" spans="1:22" ht="14.4" x14ac:dyDescent="0.3">
      <c r="A109" s="13"/>
      <c r="B109" s="13"/>
      <c r="C109" s="13" t="s">
        <v>312</v>
      </c>
      <c r="D109" s="14" t="s">
        <v>313</v>
      </c>
      <c r="E109" s="2">
        <v>70</v>
      </c>
      <c r="F109" s="16"/>
      <c r="G109" s="15"/>
      <c r="H109" s="2"/>
      <c r="I109" s="2"/>
      <c r="J109" s="16">
        <v>1447.21</v>
      </c>
      <c r="K109" s="16"/>
    </row>
    <row r="110" spans="1:22" ht="14.4" x14ac:dyDescent="0.3">
      <c r="A110" s="13"/>
      <c r="B110" s="13"/>
      <c r="C110" s="13" t="s">
        <v>314</v>
      </c>
      <c r="D110" s="14" t="s">
        <v>313</v>
      </c>
      <c r="E110" s="2">
        <v>10</v>
      </c>
      <c r="F110" s="16"/>
      <c r="G110" s="15"/>
      <c r="H110" s="2"/>
      <c r="I110" s="2"/>
      <c r="J110" s="16">
        <v>206.74</v>
      </c>
      <c r="K110" s="16"/>
    </row>
    <row r="111" spans="1:22" ht="14.4" x14ac:dyDescent="0.3">
      <c r="A111" s="13"/>
      <c r="B111" s="13"/>
      <c r="C111" s="13" t="s">
        <v>319</v>
      </c>
      <c r="D111" s="14" t="s">
        <v>313</v>
      </c>
      <c r="E111" s="2">
        <v>108</v>
      </c>
      <c r="F111" s="16"/>
      <c r="G111" s="15"/>
      <c r="H111" s="2"/>
      <c r="I111" s="2"/>
      <c r="J111" s="16">
        <v>0.01</v>
      </c>
      <c r="K111" s="16"/>
    </row>
    <row r="112" spans="1:22" ht="14.4" x14ac:dyDescent="0.3">
      <c r="A112" s="13"/>
      <c r="B112" s="13"/>
      <c r="C112" s="13" t="s">
        <v>315</v>
      </c>
      <c r="D112" s="14" t="s">
        <v>316</v>
      </c>
      <c r="E112" s="2">
        <v>69.87</v>
      </c>
      <c r="F112" s="16"/>
      <c r="G112" s="15" t="s">
        <v>19</v>
      </c>
      <c r="H112" s="2">
        <v>1</v>
      </c>
      <c r="I112" s="2"/>
      <c r="J112" s="16"/>
      <c r="K112" s="16">
        <v>3.9825900000000005</v>
      </c>
    </row>
    <row r="113" spans="1:22" ht="13.8" x14ac:dyDescent="0.25">
      <c r="A113" s="20"/>
      <c r="B113" s="20"/>
      <c r="C113" s="20"/>
      <c r="D113" s="20"/>
      <c r="E113" s="20"/>
      <c r="F113" s="20"/>
      <c r="G113" s="20"/>
      <c r="H113" s="20"/>
      <c r="I113" s="58">
        <v>3723.4300000000003</v>
      </c>
      <c r="J113" s="58"/>
      <c r="K113" s="21">
        <v>39194</v>
      </c>
      <c r="P113" s="18">
        <v>3723.4300000000003</v>
      </c>
    </row>
    <row r="114" spans="1:22" ht="27.6" x14ac:dyDescent="0.3">
      <c r="A114" s="13">
        <v>9</v>
      </c>
      <c r="B114" s="13" t="s">
        <v>20</v>
      </c>
      <c r="C114" s="13" t="s">
        <v>21</v>
      </c>
      <c r="D114" s="14" t="s">
        <v>4</v>
      </c>
      <c r="E114" s="2">
        <v>7.0999999999999994E-2</v>
      </c>
      <c r="F114" s="16"/>
      <c r="G114" s="15"/>
      <c r="H114" s="2"/>
      <c r="I114" s="2"/>
      <c r="J114" s="16"/>
      <c r="K114" s="16"/>
      <c r="Q114">
        <v>634.67999999999995</v>
      </c>
      <c r="R114">
        <v>634.67999999999995</v>
      </c>
      <c r="S114">
        <v>90.67</v>
      </c>
      <c r="T114">
        <v>90.67</v>
      </c>
      <c r="U114">
        <v>0.18</v>
      </c>
      <c r="V114">
        <v>0.11</v>
      </c>
    </row>
    <row r="115" spans="1:22" x14ac:dyDescent="0.25">
      <c r="C115" s="17" t="s">
        <v>410</v>
      </c>
    </row>
    <row r="116" spans="1:22" ht="14.4" x14ac:dyDescent="0.3">
      <c r="A116" s="13"/>
      <c r="B116" s="13"/>
      <c r="C116" s="13" t="s">
        <v>310</v>
      </c>
      <c r="D116" s="14"/>
      <c r="E116" s="2"/>
      <c r="F116" s="16">
        <v>12770.35</v>
      </c>
      <c r="G116" s="15" t="s">
        <v>1</v>
      </c>
      <c r="H116" s="2">
        <v>1</v>
      </c>
      <c r="I116" s="2">
        <v>1</v>
      </c>
      <c r="J116" s="16">
        <v>906.69</v>
      </c>
      <c r="K116" s="16"/>
    </row>
    <row r="117" spans="1:22" ht="14.4" x14ac:dyDescent="0.3">
      <c r="A117" s="13"/>
      <c r="B117" s="13"/>
      <c r="C117" s="13" t="s">
        <v>317</v>
      </c>
      <c r="D117" s="14"/>
      <c r="E117" s="2"/>
      <c r="F117" s="16">
        <v>257.70999999999998</v>
      </c>
      <c r="G117" s="15" t="s">
        <v>1</v>
      </c>
      <c r="H117" s="2">
        <v>1</v>
      </c>
      <c r="I117" s="2">
        <v>1</v>
      </c>
      <c r="J117" s="16">
        <v>18.3</v>
      </c>
      <c r="K117" s="16"/>
    </row>
    <row r="118" spans="1:22" ht="14.4" x14ac:dyDescent="0.3">
      <c r="A118" s="13"/>
      <c r="B118" s="13"/>
      <c r="C118" s="13" t="s">
        <v>318</v>
      </c>
      <c r="D118" s="14"/>
      <c r="E118" s="2"/>
      <c r="F118" s="16">
        <v>1.35</v>
      </c>
      <c r="G118" s="15" t="s">
        <v>1</v>
      </c>
      <c r="H118" s="2">
        <v>1</v>
      </c>
      <c r="I118" s="2">
        <v>1</v>
      </c>
      <c r="J118" s="22">
        <v>0.1</v>
      </c>
      <c r="K118" s="16"/>
    </row>
    <row r="119" spans="1:22" ht="14.4" x14ac:dyDescent="0.3">
      <c r="A119" s="13"/>
      <c r="B119" s="13"/>
      <c r="C119" s="13" t="s">
        <v>312</v>
      </c>
      <c r="D119" s="14" t="s">
        <v>313</v>
      </c>
      <c r="E119" s="2">
        <v>70</v>
      </c>
      <c r="F119" s="16"/>
      <c r="G119" s="15"/>
      <c r="H119" s="2"/>
      <c r="I119" s="2"/>
      <c r="J119" s="16">
        <v>634.67999999999995</v>
      </c>
      <c r="K119" s="16"/>
    </row>
    <row r="120" spans="1:22" ht="14.4" x14ac:dyDescent="0.3">
      <c r="A120" s="13"/>
      <c r="B120" s="13"/>
      <c r="C120" s="13" t="s">
        <v>314</v>
      </c>
      <c r="D120" s="14" t="s">
        <v>313</v>
      </c>
      <c r="E120" s="2">
        <v>10</v>
      </c>
      <c r="F120" s="16"/>
      <c r="G120" s="15"/>
      <c r="H120" s="2"/>
      <c r="I120" s="2"/>
      <c r="J120" s="16">
        <v>90.67</v>
      </c>
      <c r="K120" s="16"/>
    </row>
    <row r="121" spans="1:22" ht="14.4" x14ac:dyDescent="0.3">
      <c r="A121" s="13"/>
      <c r="B121" s="13"/>
      <c r="C121" s="13" t="s">
        <v>319</v>
      </c>
      <c r="D121" s="14" t="s">
        <v>313</v>
      </c>
      <c r="E121" s="2">
        <v>108</v>
      </c>
      <c r="F121" s="16"/>
      <c r="G121" s="15"/>
      <c r="H121" s="2"/>
      <c r="I121" s="2"/>
      <c r="J121" s="16">
        <v>0.11</v>
      </c>
      <c r="K121" s="16"/>
    </row>
    <row r="122" spans="1:22" ht="14.4" x14ac:dyDescent="0.3">
      <c r="A122" s="13"/>
      <c r="B122" s="13"/>
      <c r="C122" s="13" t="s">
        <v>315</v>
      </c>
      <c r="D122" s="14" t="s">
        <v>316</v>
      </c>
      <c r="E122" s="2">
        <v>24.6</v>
      </c>
      <c r="F122" s="16"/>
      <c r="G122" s="15" t="s">
        <v>1</v>
      </c>
      <c r="H122" s="2">
        <v>1</v>
      </c>
      <c r="I122" s="2"/>
      <c r="J122" s="16"/>
      <c r="K122" s="16">
        <v>1.7465999999999999</v>
      </c>
    </row>
    <row r="123" spans="1:22" ht="13.8" x14ac:dyDescent="0.25">
      <c r="A123" s="20"/>
      <c r="B123" s="20"/>
      <c r="C123" s="20"/>
      <c r="D123" s="20"/>
      <c r="E123" s="20"/>
      <c r="F123" s="20"/>
      <c r="G123" s="20"/>
      <c r="H123" s="20"/>
      <c r="I123" s="58">
        <v>1650.45</v>
      </c>
      <c r="J123" s="58"/>
      <c r="K123" s="21">
        <v>23245.77</v>
      </c>
      <c r="P123" s="18">
        <v>1650.45</v>
      </c>
    </row>
    <row r="124" spans="1:22" ht="27.6" x14ac:dyDescent="0.3">
      <c r="A124" s="13">
        <v>10</v>
      </c>
      <c r="B124" s="13" t="s">
        <v>22</v>
      </c>
      <c r="C124" s="13" t="s">
        <v>23</v>
      </c>
      <c r="D124" s="14" t="s">
        <v>24</v>
      </c>
      <c r="E124" s="2">
        <v>0.3</v>
      </c>
      <c r="F124" s="16"/>
      <c r="G124" s="15"/>
      <c r="H124" s="2"/>
      <c r="I124" s="2"/>
      <c r="J124" s="16"/>
      <c r="K124" s="16"/>
      <c r="Q124">
        <v>1019.65</v>
      </c>
      <c r="R124">
        <v>1019.65</v>
      </c>
      <c r="S124">
        <v>145.66</v>
      </c>
      <c r="T124">
        <v>145.66</v>
      </c>
      <c r="U124">
        <v>791.58</v>
      </c>
      <c r="V124">
        <v>488.52</v>
      </c>
    </row>
    <row r="125" spans="1:22" ht="14.4" x14ac:dyDescent="0.3">
      <c r="A125" s="13"/>
      <c r="B125" s="13"/>
      <c r="C125" s="13" t="s">
        <v>310</v>
      </c>
      <c r="D125" s="14"/>
      <c r="E125" s="2"/>
      <c r="F125" s="16">
        <v>4855.4799999999996</v>
      </c>
      <c r="G125" s="15" t="s">
        <v>1</v>
      </c>
      <c r="H125" s="2">
        <v>1</v>
      </c>
      <c r="I125" s="2">
        <v>1</v>
      </c>
      <c r="J125" s="16">
        <v>1456.64</v>
      </c>
      <c r="K125" s="16"/>
    </row>
    <row r="126" spans="1:22" ht="14.4" x14ac:dyDescent="0.3">
      <c r="A126" s="13"/>
      <c r="B126" s="13"/>
      <c r="C126" s="13" t="s">
        <v>317</v>
      </c>
      <c r="D126" s="14"/>
      <c r="E126" s="2"/>
      <c r="F126" s="16">
        <v>2074.2199999999998</v>
      </c>
      <c r="G126" s="15" t="s">
        <v>1</v>
      </c>
      <c r="H126" s="2">
        <v>1</v>
      </c>
      <c r="I126" s="2">
        <v>1</v>
      </c>
      <c r="J126" s="16">
        <v>622.27</v>
      </c>
      <c r="K126" s="16"/>
    </row>
    <row r="127" spans="1:22" ht="14.4" x14ac:dyDescent="0.3">
      <c r="A127" s="13"/>
      <c r="B127" s="13"/>
      <c r="C127" s="13" t="s">
        <v>318</v>
      </c>
      <c r="D127" s="14"/>
      <c r="E127" s="2"/>
      <c r="F127" s="16">
        <v>1507.78</v>
      </c>
      <c r="G127" s="15" t="s">
        <v>1</v>
      </c>
      <c r="H127" s="2">
        <v>1</v>
      </c>
      <c r="I127" s="2">
        <v>1</v>
      </c>
      <c r="J127" s="22">
        <v>452.33</v>
      </c>
      <c r="K127" s="16"/>
    </row>
    <row r="128" spans="1:22" ht="14.4" x14ac:dyDescent="0.3">
      <c r="A128" s="13"/>
      <c r="B128" s="13"/>
      <c r="C128" s="13" t="s">
        <v>312</v>
      </c>
      <c r="D128" s="14" t="s">
        <v>313</v>
      </c>
      <c r="E128" s="2">
        <v>70</v>
      </c>
      <c r="F128" s="16"/>
      <c r="G128" s="15"/>
      <c r="H128" s="2"/>
      <c r="I128" s="2"/>
      <c r="J128" s="16">
        <v>1019.65</v>
      </c>
      <c r="K128" s="16"/>
    </row>
    <row r="129" spans="1:22" ht="14.4" x14ac:dyDescent="0.3">
      <c r="A129" s="13"/>
      <c r="B129" s="13"/>
      <c r="C129" s="13" t="s">
        <v>314</v>
      </c>
      <c r="D129" s="14" t="s">
        <v>313</v>
      </c>
      <c r="E129" s="2">
        <v>10</v>
      </c>
      <c r="F129" s="16"/>
      <c r="G129" s="15"/>
      <c r="H129" s="2"/>
      <c r="I129" s="2"/>
      <c r="J129" s="16">
        <v>145.66</v>
      </c>
      <c r="K129" s="16"/>
    </row>
    <row r="130" spans="1:22" ht="14.4" x14ac:dyDescent="0.3">
      <c r="A130" s="13"/>
      <c r="B130" s="13"/>
      <c r="C130" s="13" t="s">
        <v>319</v>
      </c>
      <c r="D130" s="14" t="s">
        <v>313</v>
      </c>
      <c r="E130" s="2">
        <v>108</v>
      </c>
      <c r="F130" s="16"/>
      <c r="G130" s="15"/>
      <c r="H130" s="2"/>
      <c r="I130" s="2"/>
      <c r="J130" s="16">
        <v>488.52</v>
      </c>
      <c r="K130" s="16"/>
    </row>
    <row r="131" spans="1:22" ht="14.4" x14ac:dyDescent="0.3">
      <c r="A131" s="13"/>
      <c r="B131" s="13"/>
      <c r="C131" s="13" t="s">
        <v>315</v>
      </c>
      <c r="D131" s="14" t="s">
        <v>316</v>
      </c>
      <c r="E131" s="2">
        <v>8.27</v>
      </c>
      <c r="F131" s="16"/>
      <c r="G131" s="15" t="s">
        <v>1</v>
      </c>
      <c r="H131" s="2">
        <v>1</v>
      </c>
      <c r="I131" s="2"/>
      <c r="J131" s="16"/>
      <c r="K131" s="16">
        <v>2.4809999999999999</v>
      </c>
    </row>
    <row r="132" spans="1:22" ht="13.8" x14ac:dyDescent="0.25">
      <c r="A132" s="20"/>
      <c r="B132" s="20"/>
      <c r="C132" s="20"/>
      <c r="D132" s="20"/>
      <c r="E132" s="20"/>
      <c r="F132" s="20"/>
      <c r="G132" s="20"/>
      <c r="H132" s="20"/>
      <c r="I132" s="58">
        <v>3732.74</v>
      </c>
      <c r="J132" s="58"/>
      <c r="K132" s="21">
        <v>12442.47</v>
      </c>
      <c r="P132" s="18">
        <v>3732.74</v>
      </c>
    </row>
    <row r="133" spans="1:22" ht="27.6" x14ac:dyDescent="0.3">
      <c r="A133" s="13">
        <v>11</v>
      </c>
      <c r="B133" s="13" t="s">
        <v>25</v>
      </c>
      <c r="C133" s="13" t="s">
        <v>26</v>
      </c>
      <c r="D133" s="14" t="s">
        <v>27</v>
      </c>
      <c r="E133" s="2">
        <v>3.0000000000000001E-3</v>
      </c>
      <c r="F133" s="16"/>
      <c r="G133" s="15"/>
      <c r="H133" s="2"/>
      <c r="I133" s="2"/>
      <c r="J133" s="16"/>
      <c r="K133" s="16"/>
      <c r="Q133">
        <v>151.31</v>
      </c>
      <c r="R133">
        <v>151.31</v>
      </c>
      <c r="S133">
        <v>21.62</v>
      </c>
      <c r="T133">
        <v>21.62</v>
      </c>
      <c r="U133">
        <v>0</v>
      </c>
      <c r="V133">
        <v>0</v>
      </c>
    </row>
    <row r="134" spans="1:22" x14ac:dyDescent="0.25">
      <c r="C134" s="17" t="s">
        <v>411</v>
      </c>
    </row>
    <row r="135" spans="1:22" ht="14.4" x14ac:dyDescent="0.3">
      <c r="A135" s="13"/>
      <c r="B135" s="13"/>
      <c r="C135" s="13" t="s">
        <v>310</v>
      </c>
      <c r="D135" s="14"/>
      <c r="E135" s="2"/>
      <c r="F135" s="16">
        <v>72054.63</v>
      </c>
      <c r="G135" s="15" t="s">
        <v>1</v>
      </c>
      <c r="H135" s="2">
        <v>1</v>
      </c>
      <c r="I135" s="2">
        <v>1</v>
      </c>
      <c r="J135" s="16">
        <v>216.16</v>
      </c>
      <c r="K135" s="16"/>
    </row>
    <row r="136" spans="1:22" ht="14.4" x14ac:dyDescent="0.3">
      <c r="A136" s="13"/>
      <c r="B136" s="13"/>
      <c r="C136" s="13" t="s">
        <v>317</v>
      </c>
      <c r="D136" s="14"/>
      <c r="E136" s="2"/>
      <c r="F136" s="16">
        <v>58.09</v>
      </c>
      <c r="G136" s="15" t="s">
        <v>1</v>
      </c>
      <c r="H136" s="2">
        <v>1</v>
      </c>
      <c r="I136" s="2">
        <v>1</v>
      </c>
      <c r="J136" s="16">
        <v>0.17</v>
      </c>
      <c r="K136" s="16"/>
    </row>
    <row r="137" spans="1:22" ht="14.4" x14ac:dyDescent="0.3">
      <c r="A137" s="13"/>
      <c r="B137" s="13"/>
      <c r="C137" s="13" t="s">
        <v>311</v>
      </c>
      <c r="D137" s="14"/>
      <c r="E137" s="2"/>
      <c r="F137" s="16">
        <v>781027.62</v>
      </c>
      <c r="G137" s="15" t="s">
        <v>1</v>
      </c>
      <c r="H137" s="2">
        <v>1</v>
      </c>
      <c r="I137" s="2">
        <v>1</v>
      </c>
      <c r="J137" s="16">
        <v>2343.08</v>
      </c>
      <c r="K137" s="16"/>
    </row>
    <row r="138" spans="1:22" ht="14.4" x14ac:dyDescent="0.3">
      <c r="A138" s="13"/>
      <c r="B138" s="13"/>
      <c r="C138" s="13" t="s">
        <v>312</v>
      </c>
      <c r="D138" s="14" t="s">
        <v>313</v>
      </c>
      <c r="E138" s="2">
        <v>70</v>
      </c>
      <c r="F138" s="16"/>
      <c r="G138" s="15"/>
      <c r="H138" s="2"/>
      <c r="I138" s="2"/>
      <c r="J138" s="16">
        <v>151.31</v>
      </c>
      <c r="K138" s="16"/>
    </row>
    <row r="139" spans="1:22" ht="14.4" x14ac:dyDescent="0.3">
      <c r="A139" s="13"/>
      <c r="B139" s="13"/>
      <c r="C139" s="13" t="s">
        <v>314</v>
      </c>
      <c r="D139" s="14" t="s">
        <v>313</v>
      </c>
      <c r="E139" s="2">
        <v>10</v>
      </c>
      <c r="F139" s="16"/>
      <c r="G139" s="15"/>
      <c r="H139" s="2"/>
      <c r="I139" s="2"/>
      <c r="J139" s="16">
        <v>21.62</v>
      </c>
      <c r="K139" s="16"/>
    </row>
    <row r="140" spans="1:22" ht="14.4" x14ac:dyDescent="0.3">
      <c r="A140" s="13"/>
      <c r="B140" s="13"/>
      <c r="C140" s="13" t="s">
        <v>315</v>
      </c>
      <c r="D140" s="14" t="s">
        <v>316</v>
      </c>
      <c r="E140" s="2">
        <v>155.25</v>
      </c>
      <c r="F140" s="16"/>
      <c r="G140" s="15" t="s">
        <v>1</v>
      </c>
      <c r="H140" s="2">
        <v>1</v>
      </c>
      <c r="I140" s="2"/>
      <c r="J140" s="16"/>
      <c r="K140" s="16">
        <v>0.46575</v>
      </c>
    </row>
    <row r="141" spans="1:22" ht="13.8" x14ac:dyDescent="0.25">
      <c r="A141" s="20"/>
      <c r="B141" s="20"/>
      <c r="C141" s="20"/>
      <c r="D141" s="20"/>
      <c r="E141" s="20"/>
      <c r="F141" s="20"/>
      <c r="G141" s="20"/>
      <c r="H141" s="20"/>
      <c r="I141" s="58">
        <v>2732.3399999999997</v>
      </c>
      <c r="J141" s="58"/>
      <c r="K141" s="21">
        <v>910780</v>
      </c>
      <c r="P141" s="18">
        <v>2732.3399999999997</v>
      </c>
    </row>
    <row r="142" spans="1:22" ht="27.6" x14ac:dyDescent="0.3">
      <c r="A142" s="13">
        <v>12</v>
      </c>
      <c r="B142" s="13" t="s">
        <v>28</v>
      </c>
      <c r="C142" s="13" t="s">
        <v>29</v>
      </c>
      <c r="D142" s="14" t="s">
        <v>30</v>
      </c>
      <c r="E142" s="2">
        <v>2.3999999999999998E-3</v>
      </c>
      <c r="F142" s="16"/>
      <c r="G142" s="15"/>
      <c r="H142" s="2"/>
      <c r="I142" s="2"/>
      <c r="J142" s="16"/>
      <c r="K142" s="16"/>
      <c r="Q142">
        <v>12.4</v>
      </c>
      <c r="R142">
        <v>12.4</v>
      </c>
      <c r="S142">
        <v>1.77</v>
      </c>
      <c r="T142">
        <v>1.77</v>
      </c>
      <c r="U142">
        <v>0</v>
      </c>
      <c r="V142">
        <v>0</v>
      </c>
    </row>
    <row r="143" spans="1:22" ht="14.4" x14ac:dyDescent="0.3">
      <c r="A143" s="13"/>
      <c r="B143" s="13"/>
      <c r="C143" s="13" t="s">
        <v>310</v>
      </c>
      <c r="D143" s="14"/>
      <c r="E143" s="2"/>
      <c r="F143" s="16">
        <v>7378.62</v>
      </c>
      <c r="G143" s="15" t="s">
        <v>1</v>
      </c>
      <c r="H143" s="2">
        <v>1</v>
      </c>
      <c r="I143" s="2">
        <v>1</v>
      </c>
      <c r="J143" s="16">
        <v>17.71</v>
      </c>
      <c r="K143" s="16"/>
    </row>
    <row r="144" spans="1:22" ht="14.4" x14ac:dyDescent="0.3">
      <c r="A144" s="13"/>
      <c r="B144" s="13"/>
      <c r="C144" s="13" t="s">
        <v>311</v>
      </c>
      <c r="D144" s="14"/>
      <c r="E144" s="2"/>
      <c r="F144" s="16">
        <v>51774.94</v>
      </c>
      <c r="G144" s="15" t="s">
        <v>1</v>
      </c>
      <c r="H144" s="2">
        <v>1</v>
      </c>
      <c r="I144" s="2">
        <v>1</v>
      </c>
      <c r="J144" s="16">
        <v>124.26</v>
      </c>
      <c r="K144" s="16"/>
    </row>
    <row r="145" spans="1:22" ht="14.4" x14ac:dyDescent="0.3">
      <c r="A145" s="13"/>
      <c r="B145" s="13"/>
      <c r="C145" s="13" t="s">
        <v>312</v>
      </c>
      <c r="D145" s="14" t="s">
        <v>313</v>
      </c>
      <c r="E145" s="2">
        <v>70</v>
      </c>
      <c r="F145" s="16"/>
      <c r="G145" s="15"/>
      <c r="H145" s="2"/>
      <c r="I145" s="2"/>
      <c r="J145" s="16">
        <v>12.4</v>
      </c>
      <c r="K145" s="16"/>
    </row>
    <row r="146" spans="1:22" ht="14.4" x14ac:dyDescent="0.3">
      <c r="A146" s="13"/>
      <c r="B146" s="13"/>
      <c r="C146" s="13" t="s">
        <v>314</v>
      </c>
      <c r="D146" s="14" t="s">
        <v>313</v>
      </c>
      <c r="E146" s="2">
        <v>10</v>
      </c>
      <c r="F146" s="16"/>
      <c r="G146" s="15"/>
      <c r="H146" s="2"/>
      <c r="I146" s="2"/>
      <c r="J146" s="16">
        <v>1.77</v>
      </c>
      <c r="K146" s="16"/>
    </row>
    <row r="147" spans="1:22" ht="14.4" x14ac:dyDescent="0.3">
      <c r="A147" s="13"/>
      <c r="B147" s="13"/>
      <c r="C147" s="13" t="s">
        <v>315</v>
      </c>
      <c r="D147" s="14" t="s">
        <v>316</v>
      </c>
      <c r="E147" s="2">
        <v>13.34</v>
      </c>
      <c r="F147" s="16"/>
      <c r="G147" s="15" t="s">
        <v>1</v>
      </c>
      <c r="H147" s="2">
        <v>1</v>
      </c>
      <c r="I147" s="2"/>
      <c r="J147" s="16"/>
      <c r="K147" s="16">
        <v>3.2015999999999996E-2</v>
      </c>
    </row>
    <row r="148" spans="1:22" ht="13.8" x14ac:dyDescent="0.25">
      <c r="A148" s="20"/>
      <c r="B148" s="20"/>
      <c r="C148" s="20"/>
      <c r="D148" s="20"/>
      <c r="E148" s="20"/>
      <c r="F148" s="20"/>
      <c r="G148" s="20"/>
      <c r="H148" s="20"/>
      <c r="I148" s="58">
        <v>156.14000000000001</v>
      </c>
      <c r="J148" s="58"/>
      <c r="K148" s="21">
        <v>65058.33</v>
      </c>
      <c r="P148" s="18">
        <v>156.14000000000001</v>
      </c>
    </row>
    <row r="149" spans="1:22" ht="27.6" x14ac:dyDescent="0.3">
      <c r="A149" s="13">
        <v>13</v>
      </c>
      <c r="B149" s="13" t="s">
        <v>31</v>
      </c>
      <c r="C149" s="13" t="s">
        <v>32</v>
      </c>
      <c r="D149" s="14" t="s">
        <v>4</v>
      </c>
      <c r="E149" s="2">
        <v>7.0999999999999994E-2</v>
      </c>
      <c r="F149" s="16"/>
      <c r="G149" s="15"/>
      <c r="H149" s="2"/>
      <c r="I149" s="2"/>
      <c r="J149" s="16"/>
      <c r="K149" s="16"/>
      <c r="Q149">
        <v>633.54999999999995</v>
      </c>
      <c r="R149">
        <v>633.54999999999995</v>
      </c>
      <c r="S149">
        <v>90.51</v>
      </c>
      <c r="T149">
        <v>90.51</v>
      </c>
      <c r="U149">
        <v>0.05</v>
      </c>
      <c r="V149">
        <v>0.03</v>
      </c>
    </row>
    <row r="150" spans="1:22" x14ac:dyDescent="0.25">
      <c r="C150" s="17" t="s">
        <v>410</v>
      </c>
    </row>
    <row r="151" spans="1:22" ht="14.4" x14ac:dyDescent="0.3">
      <c r="A151" s="13"/>
      <c r="B151" s="13"/>
      <c r="C151" s="13" t="s">
        <v>310</v>
      </c>
      <c r="D151" s="14"/>
      <c r="E151" s="2"/>
      <c r="F151" s="16">
        <v>12747.47</v>
      </c>
      <c r="G151" s="15" t="s">
        <v>1</v>
      </c>
      <c r="H151" s="2">
        <v>1</v>
      </c>
      <c r="I151" s="2">
        <v>1</v>
      </c>
      <c r="J151" s="16">
        <v>905.07</v>
      </c>
      <c r="K151" s="16"/>
    </row>
    <row r="152" spans="1:22" ht="14.4" x14ac:dyDescent="0.3">
      <c r="A152" s="13"/>
      <c r="B152" s="13"/>
      <c r="C152" s="13" t="s">
        <v>317</v>
      </c>
      <c r="D152" s="14"/>
      <c r="E152" s="2"/>
      <c r="F152" s="16">
        <v>76.680000000000007</v>
      </c>
      <c r="G152" s="15" t="s">
        <v>1</v>
      </c>
      <c r="H152" s="2">
        <v>1</v>
      </c>
      <c r="I152" s="2">
        <v>1</v>
      </c>
      <c r="J152" s="16">
        <v>5.44</v>
      </c>
      <c r="K152" s="16"/>
    </row>
    <row r="153" spans="1:22" ht="14.4" x14ac:dyDescent="0.3">
      <c r="A153" s="13"/>
      <c r="B153" s="13"/>
      <c r="C153" s="13" t="s">
        <v>318</v>
      </c>
      <c r="D153" s="14"/>
      <c r="E153" s="2"/>
      <c r="F153" s="16">
        <v>0.39</v>
      </c>
      <c r="G153" s="15" t="s">
        <v>1</v>
      </c>
      <c r="H153" s="2">
        <v>1</v>
      </c>
      <c r="I153" s="2">
        <v>1</v>
      </c>
      <c r="J153" s="22">
        <v>0.03</v>
      </c>
      <c r="K153" s="16"/>
    </row>
    <row r="154" spans="1:22" ht="14.4" x14ac:dyDescent="0.3">
      <c r="A154" s="13"/>
      <c r="B154" s="13"/>
      <c r="C154" s="13" t="s">
        <v>311</v>
      </c>
      <c r="D154" s="14"/>
      <c r="E154" s="2"/>
      <c r="F154" s="16">
        <v>13127.07</v>
      </c>
      <c r="G154" s="15" t="s">
        <v>1</v>
      </c>
      <c r="H154" s="2">
        <v>1</v>
      </c>
      <c r="I154" s="2">
        <v>1</v>
      </c>
      <c r="J154" s="16">
        <v>932.02</v>
      </c>
      <c r="K154" s="16"/>
    </row>
    <row r="155" spans="1:22" ht="14.4" x14ac:dyDescent="0.3">
      <c r="A155" s="13"/>
      <c r="B155" s="13"/>
      <c r="C155" s="13" t="s">
        <v>312</v>
      </c>
      <c r="D155" s="14" t="s">
        <v>313</v>
      </c>
      <c r="E155" s="2">
        <v>70</v>
      </c>
      <c r="F155" s="16"/>
      <c r="G155" s="15"/>
      <c r="H155" s="2"/>
      <c r="I155" s="2"/>
      <c r="J155" s="16">
        <v>633.54999999999995</v>
      </c>
      <c r="K155" s="16"/>
    </row>
    <row r="156" spans="1:22" ht="14.4" x14ac:dyDescent="0.3">
      <c r="A156" s="13"/>
      <c r="B156" s="13"/>
      <c r="C156" s="13" t="s">
        <v>314</v>
      </c>
      <c r="D156" s="14" t="s">
        <v>313</v>
      </c>
      <c r="E156" s="2">
        <v>10</v>
      </c>
      <c r="F156" s="16"/>
      <c r="G156" s="15"/>
      <c r="H156" s="2"/>
      <c r="I156" s="2"/>
      <c r="J156" s="16">
        <v>90.51</v>
      </c>
      <c r="K156" s="16"/>
    </row>
    <row r="157" spans="1:22" ht="14.4" x14ac:dyDescent="0.3">
      <c r="A157" s="13"/>
      <c r="B157" s="13"/>
      <c r="C157" s="13" t="s">
        <v>319</v>
      </c>
      <c r="D157" s="14" t="s">
        <v>313</v>
      </c>
      <c r="E157" s="2">
        <v>108</v>
      </c>
      <c r="F157" s="16"/>
      <c r="G157" s="15"/>
      <c r="H157" s="2"/>
      <c r="I157" s="2"/>
      <c r="J157" s="16">
        <v>0.03</v>
      </c>
      <c r="K157" s="16"/>
    </row>
    <row r="158" spans="1:22" ht="14.4" x14ac:dyDescent="0.3">
      <c r="A158" s="13"/>
      <c r="B158" s="13"/>
      <c r="C158" s="13" t="s">
        <v>315</v>
      </c>
      <c r="D158" s="14" t="s">
        <v>316</v>
      </c>
      <c r="E158" s="2">
        <v>26.83</v>
      </c>
      <c r="F158" s="16"/>
      <c r="G158" s="15" t="s">
        <v>1</v>
      </c>
      <c r="H158" s="2">
        <v>1</v>
      </c>
      <c r="I158" s="2"/>
      <c r="J158" s="16"/>
      <c r="K158" s="16">
        <v>1.9049299999999998</v>
      </c>
    </row>
    <row r="159" spans="1:22" ht="13.8" x14ac:dyDescent="0.25">
      <c r="A159" s="20"/>
      <c r="B159" s="20"/>
      <c r="C159" s="20"/>
      <c r="D159" s="20"/>
      <c r="E159" s="20"/>
      <c r="F159" s="20"/>
      <c r="G159" s="20"/>
      <c r="H159" s="20"/>
      <c r="I159" s="58">
        <v>2566.6200000000003</v>
      </c>
      <c r="J159" s="58"/>
      <c r="K159" s="21">
        <v>36149.58</v>
      </c>
      <c r="P159" s="18">
        <v>2566.6200000000003</v>
      </c>
    </row>
    <row r="160" spans="1:22" ht="41.4" x14ac:dyDescent="0.3">
      <c r="A160" s="13">
        <v>14</v>
      </c>
      <c r="B160" s="13" t="s">
        <v>33</v>
      </c>
      <c r="C160" s="13" t="s">
        <v>34</v>
      </c>
      <c r="D160" s="14" t="s">
        <v>4</v>
      </c>
      <c r="E160" s="2">
        <v>7.0999999999999994E-2</v>
      </c>
      <c r="F160" s="16"/>
      <c r="G160" s="15"/>
      <c r="H160" s="2"/>
      <c r="I160" s="2"/>
      <c r="J160" s="16"/>
      <c r="K160" s="16"/>
      <c r="Q160">
        <v>23.53</v>
      </c>
      <c r="R160">
        <v>23.53</v>
      </c>
      <c r="S160">
        <v>3.36</v>
      </c>
      <c r="T160">
        <v>3.36</v>
      </c>
      <c r="U160">
        <v>0.02</v>
      </c>
      <c r="V160">
        <v>0.01</v>
      </c>
    </row>
    <row r="161" spans="1:22" x14ac:dyDescent="0.25">
      <c r="C161" s="17" t="s">
        <v>410</v>
      </c>
    </row>
    <row r="162" spans="1:22" ht="14.4" x14ac:dyDescent="0.3">
      <c r="A162" s="13"/>
      <c r="B162" s="13"/>
      <c r="C162" s="13" t="s">
        <v>310</v>
      </c>
      <c r="D162" s="14"/>
      <c r="E162" s="2"/>
      <c r="F162" s="16">
        <v>236.7</v>
      </c>
      <c r="G162" s="15" t="s">
        <v>35</v>
      </c>
      <c r="H162" s="2">
        <v>1</v>
      </c>
      <c r="I162" s="2">
        <v>1</v>
      </c>
      <c r="J162" s="16">
        <v>33.61</v>
      </c>
      <c r="K162" s="16"/>
    </row>
    <row r="163" spans="1:22" ht="14.4" x14ac:dyDescent="0.3">
      <c r="A163" s="13"/>
      <c r="B163" s="13"/>
      <c r="C163" s="13" t="s">
        <v>317</v>
      </c>
      <c r="D163" s="14"/>
      <c r="E163" s="2"/>
      <c r="F163" s="16">
        <v>19.600000000000001</v>
      </c>
      <c r="G163" s="15" t="s">
        <v>35</v>
      </c>
      <c r="H163" s="2">
        <v>1</v>
      </c>
      <c r="I163" s="2">
        <v>1</v>
      </c>
      <c r="J163" s="16">
        <v>2.78</v>
      </c>
      <c r="K163" s="16"/>
    </row>
    <row r="164" spans="1:22" ht="14.4" x14ac:dyDescent="0.3">
      <c r="A164" s="13"/>
      <c r="B164" s="13"/>
      <c r="C164" s="13" t="s">
        <v>318</v>
      </c>
      <c r="D164" s="14"/>
      <c r="E164" s="2"/>
      <c r="F164" s="16">
        <v>0.1</v>
      </c>
      <c r="G164" s="15" t="s">
        <v>35</v>
      </c>
      <c r="H164" s="2">
        <v>1</v>
      </c>
      <c r="I164" s="2">
        <v>1</v>
      </c>
      <c r="J164" s="22">
        <v>0.01</v>
      </c>
      <c r="K164" s="16"/>
    </row>
    <row r="165" spans="1:22" ht="14.4" x14ac:dyDescent="0.3">
      <c r="A165" s="13"/>
      <c r="B165" s="13"/>
      <c r="C165" s="13" t="s">
        <v>311</v>
      </c>
      <c r="D165" s="14"/>
      <c r="E165" s="2"/>
      <c r="F165" s="16">
        <v>3233.81</v>
      </c>
      <c r="G165" s="15" t="s">
        <v>35</v>
      </c>
      <c r="H165" s="2">
        <v>1</v>
      </c>
      <c r="I165" s="2">
        <v>1</v>
      </c>
      <c r="J165" s="16">
        <v>459.2</v>
      </c>
      <c r="K165" s="16"/>
    </row>
    <row r="166" spans="1:22" ht="14.4" x14ac:dyDescent="0.3">
      <c r="A166" s="13"/>
      <c r="B166" s="13"/>
      <c r="C166" s="13" t="s">
        <v>312</v>
      </c>
      <c r="D166" s="14" t="s">
        <v>313</v>
      </c>
      <c r="E166" s="2">
        <v>70</v>
      </c>
      <c r="F166" s="16"/>
      <c r="G166" s="15"/>
      <c r="H166" s="2"/>
      <c r="I166" s="2"/>
      <c r="J166" s="16">
        <v>23.53</v>
      </c>
      <c r="K166" s="16"/>
    </row>
    <row r="167" spans="1:22" ht="14.4" x14ac:dyDescent="0.3">
      <c r="A167" s="13"/>
      <c r="B167" s="13"/>
      <c r="C167" s="13" t="s">
        <v>314</v>
      </c>
      <c r="D167" s="14" t="s">
        <v>313</v>
      </c>
      <c r="E167" s="2">
        <v>10</v>
      </c>
      <c r="F167" s="16"/>
      <c r="G167" s="15"/>
      <c r="H167" s="2"/>
      <c r="I167" s="2"/>
      <c r="J167" s="16">
        <v>3.36</v>
      </c>
      <c r="K167" s="16"/>
    </row>
    <row r="168" spans="1:22" ht="14.4" x14ac:dyDescent="0.3">
      <c r="A168" s="13"/>
      <c r="B168" s="13"/>
      <c r="C168" s="13" t="s">
        <v>319</v>
      </c>
      <c r="D168" s="14" t="s">
        <v>313</v>
      </c>
      <c r="E168" s="2">
        <v>108</v>
      </c>
      <c r="F168" s="16"/>
      <c r="G168" s="15"/>
      <c r="H168" s="2"/>
      <c r="I168" s="2"/>
      <c r="J168" s="16">
        <v>0.01</v>
      </c>
      <c r="K168" s="16"/>
    </row>
    <row r="169" spans="1:22" ht="14.4" x14ac:dyDescent="0.3">
      <c r="A169" s="13"/>
      <c r="B169" s="13"/>
      <c r="C169" s="13" t="s">
        <v>315</v>
      </c>
      <c r="D169" s="14" t="s">
        <v>316</v>
      </c>
      <c r="E169" s="2">
        <v>0.51</v>
      </c>
      <c r="F169" s="16"/>
      <c r="G169" s="15" t="s">
        <v>35</v>
      </c>
      <c r="H169" s="2">
        <v>1</v>
      </c>
      <c r="I169" s="2"/>
      <c r="J169" s="16"/>
      <c r="K169" s="16">
        <v>7.2419999999999998E-2</v>
      </c>
    </row>
    <row r="170" spans="1:22" ht="13.8" x14ac:dyDescent="0.25">
      <c r="A170" s="20"/>
      <c r="B170" s="20"/>
      <c r="C170" s="20"/>
      <c r="D170" s="20"/>
      <c r="E170" s="20"/>
      <c r="F170" s="20"/>
      <c r="G170" s="20"/>
      <c r="H170" s="20"/>
      <c r="I170" s="58">
        <v>522.49</v>
      </c>
      <c r="J170" s="58"/>
      <c r="K170" s="21">
        <v>7359.01</v>
      </c>
      <c r="P170" s="18">
        <v>522.49</v>
      </c>
    </row>
    <row r="171" spans="1:22" ht="96.6" x14ac:dyDescent="0.3">
      <c r="A171" s="13">
        <v>15</v>
      </c>
      <c r="B171" s="13" t="s">
        <v>36</v>
      </c>
      <c r="C171" s="13" t="s">
        <v>37</v>
      </c>
      <c r="D171" s="14" t="s">
        <v>4</v>
      </c>
      <c r="E171" s="2">
        <v>7.0999999999999994E-2</v>
      </c>
      <c r="F171" s="16"/>
      <c r="G171" s="15"/>
      <c r="H171" s="2"/>
      <c r="I171" s="2"/>
      <c r="J171" s="16"/>
      <c r="K171" s="16"/>
      <c r="Q171">
        <v>10031.32</v>
      </c>
      <c r="R171">
        <v>10031.32</v>
      </c>
      <c r="S171">
        <v>1433.05</v>
      </c>
      <c r="T171">
        <v>1433.05</v>
      </c>
      <c r="U171">
        <v>141.91</v>
      </c>
      <c r="V171">
        <v>87.58</v>
      </c>
    </row>
    <row r="172" spans="1:22" x14ac:dyDescent="0.25">
      <c r="C172" s="17" t="s">
        <v>410</v>
      </c>
    </row>
    <row r="173" spans="1:22" ht="14.4" x14ac:dyDescent="0.3">
      <c r="A173" s="13"/>
      <c r="B173" s="13"/>
      <c r="C173" s="13" t="s">
        <v>310</v>
      </c>
      <c r="D173" s="14"/>
      <c r="E173" s="2"/>
      <c r="F173" s="16">
        <v>201837.44</v>
      </c>
      <c r="G173" s="15" t="s">
        <v>1</v>
      </c>
      <c r="H173" s="2">
        <v>1</v>
      </c>
      <c r="I173" s="2">
        <v>1</v>
      </c>
      <c r="J173" s="16">
        <v>14330.46</v>
      </c>
      <c r="K173" s="16"/>
    </row>
    <row r="174" spans="1:22" ht="14.4" x14ac:dyDescent="0.3">
      <c r="A174" s="13"/>
      <c r="B174" s="13"/>
      <c r="C174" s="13" t="s">
        <v>317</v>
      </c>
      <c r="D174" s="14"/>
      <c r="E174" s="2"/>
      <c r="F174" s="16">
        <v>3096.25</v>
      </c>
      <c r="G174" s="15" t="s">
        <v>1</v>
      </c>
      <c r="H174" s="2">
        <v>1</v>
      </c>
      <c r="I174" s="2">
        <v>1</v>
      </c>
      <c r="J174" s="16">
        <v>219.83</v>
      </c>
      <c r="K174" s="16"/>
    </row>
    <row r="175" spans="1:22" ht="14.4" x14ac:dyDescent="0.3">
      <c r="A175" s="13"/>
      <c r="B175" s="13"/>
      <c r="C175" s="13" t="s">
        <v>318</v>
      </c>
      <c r="D175" s="14"/>
      <c r="E175" s="2"/>
      <c r="F175" s="16">
        <v>1142.05</v>
      </c>
      <c r="G175" s="15" t="s">
        <v>1</v>
      </c>
      <c r="H175" s="2">
        <v>1</v>
      </c>
      <c r="I175" s="2">
        <v>1</v>
      </c>
      <c r="J175" s="22">
        <v>81.09</v>
      </c>
      <c r="K175" s="16"/>
    </row>
    <row r="176" spans="1:22" ht="14.4" x14ac:dyDescent="0.3">
      <c r="A176" s="13"/>
      <c r="B176" s="13"/>
      <c r="C176" s="13" t="s">
        <v>311</v>
      </c>
      <c r="D176" s="14"/>
      <c r="E176" s="2"/>
      <c r="F176" s="16">
        <v>111985.11</v>
      </c>
      <c r="G176" s="15" t="s">
        <v>1</v>
      </c>
      <c r="H176" s="2">
        <v>1</v>
      </c>
      <c r="I176" s="2">
        <v>1</v>
      </c>
      <c r="J176" s="16">
        <v>7950.94</v>
      </c>
      <c r="K176" s="16"/>
    </row>
    <row r="177" spans="1:22" ht="69" x14ac:dyDescent="0.3">
      <c r="A177" s="13" t="s">
        <v>38</v>
      </c>
      <c r="B177" s="13" t="s">
        <v>39</v>
      </c>
      <c r="C177" s="13" t="s">
        <v>40</v>
      </c>
      <c r="D177" s="14" t="s">
        <v>41</v>
      </c>
      <c r="E177" s="2">
        <v>-7.2419999999999991</v>
      </c>
      <c r="F177" s="16">
        <v>892.63</v>
      </c>
      <c r="G177" s="25" t="s">
        <v>1</v>
      </c>
      <c r="H177" s="2">
        <v>1</v>
      </c>
      <c r="I177" s="2">
        <v>1</v>
      </c>
      <c r="J177" s="16">
        <v>-6464.43</v>
      </c>
      <c r="K177" s="16"/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ht="68.400000000000006" x14ac:dyDescent="0.3">
      <c r="A178" s="13" t="s">
        <v>42</v>
      </c>
      <c r="B178" s="13" t="s">
        <v>43</v>
      </c>
      <c r="C178" s="13" t="s">
        <v>438</v>
      </c>
      <c r="D178" s="14" t="s">
        <v>41</v>
      </c>
      <c r="E178" s="2">
        <v>3.621</v>
      </c>
      <c r="F178" s="16">
        <v>4786.6799999999994</v>
      </c>
      <c r="G178" s="25" t="s">
        <v>1</v>
      </c>
      <c r="H178" s="2">
        <v>1</v>
      </c>
      <c r="I178" s="2">
        <v>1</v>
      </c>
      <c r="J178" s="16">
        <v>17332.57</v>
      </c>
      <c r="K178" s="16"/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t="54.6" x14ac:dyDescent="0.3">
      <c r="A179" s="13" t="s">
        <v>45</v>
      </c>
      <c r="B179" s="13" t="s">
        <v>43</v>
      </c>
      <c r="C179" s="13" t="s">
        <v>321</v>
      </c>
      <c r="D179" s="14" t="s">
        <v>41</v>
      </c>
      <c r="E179" s="2">
        <v>3.621</v>
      </c>
      <c r="F179" s="16">
        <v>1424.3200000000002</v>
      </c>
      <c r="G179" s="25" t="s">
        <v>1</v>
      </c>
      <c r="H179" s="2">
        <v>1</v>
      </c>
      <c r="I179" s="2">
        <v>1</v>
      </c>
      <c r="J179" s="16">
        <v>5157.46</v>
      </c>
      <c r="K179" s="16"/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ht="14.4" x14ac:dyDescent="0.3">
      <c r="A180" s="13"/>
      <c r="B180" s="13"/>
      <c r="C180" s="13" t="s">
        <v>312</v>
      </c>
      <c r="D180" s="14" t="s">
        <v>313</v>
      </c>
      <c r="E180" s="2">
        <v>70</v>
      </c>
      <c r="F180" s="16"/>
      <c r="G180" s="15"/>
      <c r="H180" s="2"/>
      <c r="I180" s="2"/>
      <c r="J180" s="16">
        <v>10031.32</v>
      </c>
      <c r="K180" s="16"/>
    </row>
    <row r="181" spans="1:22" ht="14.4" x14ac:dyDescent="0.3">
      <c r="A181" s="13"/>
      <c r="B181" s="13"/>
      <c r="C181" s="13" t="s">
        <v>314</v>
      </c>
      <c r="D181" s="14" t="s">
        <v>313</v>
      </c>
      <c r="E181" s="2">
        <v>10</v>
      </c>
      <c r="F181" s="16"/>
      <c r="G181" s="15"/>
      <c r="H181" s="2"/>
      <c r="I181" s="2"/>
      <c r="J181" s="16">
        <v>1433.05</v>
      </c>
      <c r="K181" s="16"/>
    </row>
    <row r="182" spans="1:22" ht="14.4" x14ac:dyDescent="0.3">
      <c r="A182" s="13"/>
      <c r="B182" s="13"/>
      <c r="C182" s="13" t="s">
        <v>319</v>
      </c>
      <c r="D182" s="14" t="s">
        <v>313</v>
      </c>
      <c r="E182" s="2">
        <v>108</v>
      </c>
      <c r="F182" s="16"/>
      <c r="G182" s="15"/>
      <c r="H182" s="2"/>
      <c r="I182" s="2"/>
      <c r="J182" s="16">
        <v>87.58</v>
      </c>
      <c r="K182" s="16"/>
    </row>
    <row r="183" spans="1:22" ht="14.4" x14ac:dyDescent="0.3">
      <c r="A183" s="13"/>
      <c r="B183" s="13"/>
      <c r="C183" s="13" t="s">
        <v>315</v>
      </c>
      <c r="D183" s="14" t="s">
        <v>316</v>
      </c>
      <c r="E183" s="2">
        <v>364.69</v>
      </c>
      <c r="F183" s="16"/>
      <c r="G183" s="15" t="s">
        <v>1</v>
      </c>
      <c r="H183" s="2">
        <v>1</v>
      </c>
      <c r="I183" s="2"/>
      <c r="J183" s="16"/>
      <c r="K183" s="16">
        <v>25.892989999999998</v>
      </c>
    </row>
    <row r="184" spans="1:22" ht="13.8" x14ac:dyDescent="0.25">
      <c r="A184" s="20"/>
      <c r="B184" s="20"/>
      <c r="C184" s="20"/>
      <c r="D184" s="20"/>
      <c r="E184" s="20"/>
      <c r="F184" s="20"/>
      <c r="G184" s="20"/>
      <c r="H184" s="20"/>
      <c r="I184" s="58">
        <v>50078.78</v>
      </c>
      <c r="J184" s="58"/>
      <c r="K184" s="21">
        <v>705334.93</v>
      </c>
      <c r="P184" s="18">
        <v>50078.78</v>
      </c>
    </row>
    <row r="185" spans="1:22" ht="96.6" x14ac:dyDescent="0.3">
      <c r="A185" s="13">
        <v>16</v>
      </c>
      <c r="B185" s="13" t="s">
        <v>47</v>
      </c>
      <c r="C185" s="13" t="s">
        <v>48</v>
      </c>
      <c r="D185" s="14" t="s">
        <v>4</v>
      </c>
      <c r="E185" s="2">
        <v>1.2E-2</v>
      </c>
      <c r="F185" s="16"/>
      <c r="G185" s="15"/>
      <c r="H185" s="2"/>
      <c r="I185" s="2"/>
      <c r="J185" s="16"/>
      <c r="K185" s="16"/>
      <c r="Q185">
        <v>2722.99</v>
      </c>
      <c r="R185">
        <v>2722.99</v>
      </c>
      <c r="S185">
        <v>389</v>
      </c>
      <c r="T185">
        <v>389</v>
      </c>
      <c r="U185">
        <v>96.74</v>
      </c>
      <c r="V185">
        <v>59.7</v>
      </c>
    </row>
    <row r="186" spans="1:22" x14ac:dyDescent="0.25">
      <c r="C186" s="17" t="s">
        <v>412</v>
      </c>
    </row>
    <row r="187" spans="1:22" ht="14.4" x14ac:dyDescent="0.3">
      <c r="A187" s="13"/>
      <c r="B187" s="13"/>
      <c r="C187" s="13" t="s">
        <v>310</v>
      </c>
      <c r="D187" s="14"/>
      <c r="E187" s="2"/>
      <c r="F187" s="16">
        <v>324166.18</v>
      </c>
      <c r="G187" s="15" t="s">
        <v>1</v>
      </c>
      <c r="H187" s="2">
        <v>1</v>
      </c>
      <c r="I187" s="2">
        <v>1</v>
      </c>
      <c r="J187" s="16">
        <v>3889.99</v>
      </c>
      <c r="K187" s="16"/>
    </row>
    <row r="188" spans="1:22" ht="14.4" x14ac:dyDescent="0.3">
      <c r="A188" s="13"/>
      <c r="B188" s="13"/>
      <c r="C188" s="13" t="s">
        <v>317</v>
      </c>
      <c r="D188" s="14"/>
      <c r="E188" s="2"/>
      <c r="F188" s="16">
        <v>7212.9</v>
      </c>
      <c r="G188" s="15" t="s">
        <v>1</v>
      </c>
      <c r="H188" s="2">
        <v>1</v>
      </c>
      <c r="I188" s="2">
        <v>1</v>
      </c>
      <c r="J188" s="16">
        <v>86.55</v>
      </c>
      <c r="K188" s="16"/>
    </row>
    <row r="189" spans="1:22" ht="14.4" x14ac:dyDescent="0.3">
      <c r="A189" s="13"/>
      <c r="B189" s="13"/>
      <c r="C189" s="13" t="s">
        <v>318</v>
      </c>
      <c r="D189" s="14"/>
      <c r="E189" s="2"/>
      <c r="F189" s="16">
        <v>4606.78</v>
      </c>
      <c r="G189" s="15" t="s">
        <v>1</v>
      </c>
      <c r="H189" s="2">
        <v>1</v>
      </c>
      <c r="I189" s="2">
        <v>1</v>
      </c>
      <c r="J189" s="22">
        <v>55.28</v>
      </c>
      <c r="K189" s="16"/>
    </row>
    <row r="190" spans="1:22" ht="14.4" x14ac:dyDescent="0.3">
      <c r="A190" s="13"/>
      <c r="B190" s="13"/>
      <c r="C190" s="13" t="s">
        <v>311</v>
      </c>
      <c r="D190" s="14"/>
      <c r="E190" s="2"/>
      <c r="F190" s="16">
        <v>119500.22</v>
      </c>
      <c r="G190" s="15" t="s">
        <v>1</v>
      </c>
      <c r="H190" s="2">
        <v>1</v>
      </c>
      <c r="I190" s="2">
        <v>1</v>
      </c>
      <c r="J190" s="16">
        <v>1434</v>
      </c>
      <c r="K190" s="16"/>
    </row>
    <row r="191" spans="1:22" ht="69" x14ac:dyDescent="0.3">
      <c r="A191" s="13" t="s">
        <v>49</v>
      </c>
      <c r="B191" s="13" t="s">
        <v>39</v>
      </c>
      <c r="C191" s="13" t="s">
        <v>40</v>
      </c>
      <c r="D191" s="14" t="s">
        <v>41</v>
      </c>
      <c r="E191" s="2">
        <v>-1.3440000000000001</v>
      </c>
      <c r="F191" s="16">
        <v>892.63</v>
      </c>
      <c r="G191" s="25" t="s">
        <v>1</v>
      </c>
      <c r="H191" s="2">
        <v>1</v>
      </c>
      <c r="I191" s="2">
        <v>1</v>
      </c>
      <c r="J191" s="16">
        <v>-1199.69</v>
      </c>
      <c r="K191" s="16"/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ht="54.6" x14ac:dyDescent="0.3">
      <c r="A192" s="13" t="s">
        <v>50</v>
      </c>
      <c r="B192" s="13" t="s">
        <v>43</v>
      </c>
      <c r="C192" s="13" t="s">
        <v>321</v>
      </c>
      <c r="D192" s="14" t="s">
        <v>41</v>
      </c>
      <c r="E192" s="2">
        <v>1.3440000000000001</v>
      </c>
      <c r="F192" s="16">
        <v>1424.3200000000002</v>
      </c>
      <c r="G192" s="25" t="s">
        <v>1</v>
      </c>
      <c r="H192" s="2">
        <v>1</v>
      </c>
      <c r="I192" s="2">
        <v>1</v>
      </c>
      <c r="J192" s="16">
        <v>1914.29</v>
      </c>
      <c r="K192" s="16"/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ht="14.4" x14ac:dyDescent="0.3">
      <c r="A193" s="13"/>
      <c r="B193" s="13"/>
      <c r="C193" s="13" t="s">
        <v>312</v>
      </c>
      <c r="D193" s="14" t="s">
        <v>313</v>
      </c>
      <c r="E193" s="2">
        <v>70</v>
      </c>
      <c r="F193" s="16"/>
      <c r="G193" s="15"/>
      <c r="H193" s="2"/>
      <c r="I193" s="2"/>
      <c r="J193" s="16">
        <v>2722.99</v>
      </c>
      <c r="K193" s="16"/>
    </row>
    <row r="194" spans="1:22" ht="14.4" x14ac:dyDescent="0.3">
      <c r="A194" s="13"/>
      <c r="B194" s="13"/>
      <c r="C194" s="13" t="s">
        <v>314</v>
      </c>
      <c r="D194" s="14" t="s">
        <v>313</v>
      </c>
      <c r="E194" s="2">
        <v>10</v>
      </c>
      <c r="F194" s="16"/>
      <c r="G194" s="15"/>
      <c r="H194" s="2"/>
      <c r="I194" s="2"/>
      <c r="J194" s="16">
        <v>389</v>
      </c>
      <c r="K194" s="16"/>
    </row>
    <row r="195" spans="1:22" ht="14.4" x14ac:dyDescent="0.3">
      <c r="A195" s="13"/>
      <c r="B195" s="13"/>
      <c r="C195" s="13" t="s">
        <v>319</v>
      </c>
      <c r="D195" s="14" t="s">
        <v>313</v>
      </c>
      <c r="E195" s="2">
        <v>108</v>
      </c>
      <c r="F195" s="16"/>
      <c r="G195" s="15"/>
      <c r="H195" s="2"/>
      <c r="I195" s="2"/>
      <c r="J195" s="16">
        <v>59.7</v>
      </c>
      <c r="K195" s="16"/>
    </row>
    <row r="196" spans="1:22" ht="14.4" x14ac:dyDescent="0.3">
      <c r="A196" s="13"/>
      <c r="B196" s="13"/>
      <c r="C196" s="13" t="s">
        <v>315</v>
      </c>
      <c r="D196" s="14" t="s">
        <v>316</v>
      </c>
      <c r="E196" s="2">
        <v>540.16999999999996</v>
      </c>
      <c r="F196" s="16"/>
      <c r="G196" s="15" t="s">
        <v>1</v>
      </c>
      <c r="H196" s="2">
        <v>1</v>
      </c>
      <c r="I196" s="2"/>
      <c r="J196" s="16"/>
      <c r="K196" s="16">
        <v>6.4820399999999996</v>
      </c>
    </row>
    <row r="197" spans="1:22" ht="13.8" x14ac:dyDescent="0.25">
      <c r="A197" s="20"/>
      <c r="B197" s="20"/>
      <c r="C197" s="20"/>
      <c r="D197" s="20"/>
      <c r="E197" s="20"/>
      <c r="F197" s="20"/>
      <c r="G197" s="20"/>
      <c r="H197" s="20"/>
      <c r="I197" s="58">
        <v>9296.83</v>
      </c>
      <c r="J197" s="58"/>
      <c r="K197" s="21">
        <v>774735.83</v>
      </c>
      <c r="P197" s="18">
        <v>9296.83</v>
      </c>
    </row>
    <row r="198" spans="1:22" ht="96.6" x14ac:dyDescent="0.3">
      <c r="A198" s="13">
        <v>17</v>
      </c>
      <c r="B198" s="13" t="s">
        <v>51</v>
      </c>
      <c r="C198" s="13" t="s">
        <v>52</v>
      </c>
      <c r="D198" s="14" t="s">
        <v>4</v>
      </c>
      <c r="E198" s="2">
        <v>1.2E-2</v>
      </c>
      <c r="F198" s="16"/>
      <c r="G198" s="15"/>
      <c r="H198" s="2"/>
      <c r="I198" s="2"/>
      <c r="J198" s="16"/>
      <c r="K198" s="16"/>
      <c r="Q198">
        <v>550.46</v>
      </c>
      <c r="R198">
        <v>550.46</v>
      </c>
      <c r="S198">
        <v>78.64</v>
      </c>
      <c r="T198">
        <v>78.64</v>
      </c>
      <c r="U198">
        <v>84.12</v>
      </c>
      <c r="V198">
        <v>51.92</v>
      </c>
    </row>
    <row r="199" spans="1:22" x14ac:dyDescent="0.25">
      <c r="C199" s="17" t="s">
        <v>412</v>
      </c>
    </row>
    <row r="200" spans="1:22" ht="14.4" x14ac:dyDescent="0.3">
      <c r="A200" s="13"/>
      <c r="B200" s="13"/>
      <c r="C200" s="13" t="s">
        <v>310</v>
      </c>
      <c r="D200" s="14"/>
      <c r="E200" s="2"/>
      <c r="F200" s="16">
        <v>65530.63</v>
      </c>
      <c r="G200" s="15" t="s">
        <v>1</v>
      </c>
      <c r="H200" s="2">
        <v>1</v>
      </c>
      <c r="I200" s="2">
        <v>1</v>
      </c>
      <c r="J200" s="16">
        <v>786.37</v>
      </c>
      <c r="K200" s="16"/>
    </row>
    <row r="201" spans="1:22" ht="14.4" x14ac:dyDescent="0.3">
      <c r="A201" s="13"/>
      <c r="B201" s="13"/>
      <c r="C201" s="13" t="s">
        <v>317</v>
      </c>
      <c r="D201" s="14"/>
      <c r="E201" s="2"/>
      <c r="F201" s="16">
        <v>4554.62</v>
      </c>
      <c r="G201" s="15" t="s">
        <v>1</v>
      </c>
      <c r="H201" s="2">
        <v>1</v>
      </c>
      <c r="I201" s="2">
        <v>1</v>
      </c>
      <c r="J201" s="16">
        <v>54.66</v>
      </c>
      <c r="K201" s="16"/>
    </row>
    <row r="202" spans="1:22" ht="14.4" x14ac:dyDescent="0.3">
      <c r="A202" s="13"/>
      <c r="B202" s="13"/>
      <c r="C202" s="13" t="s">
        <v>318</v>
      </c>
      <c r="D202" s="14"/>
      <c r="E202" s="2"/>
      <c r="F202" s="16">
        <v>4005.97</v>
      </c>
      <c r="G202" s="15" t="s">
        <v>1</v>
      </c>
      <c r="H202" s="2">
        <v>1</v>
      </c>
      <c r="I202" s="2">
        <v>1</v>
      </c>
      <c r="J202" s="22">
        <v>48.07</v>
      </c>
      <c r="K202" s="16"/>
    </row>
    <row r="203" spans="1:22" ht="14.4" x14ac:dyDescent="0.3">
      <c r="A203" s="13"/>
      <c r="B203" s="13"/>
      <c r="C203" s="13" t="s">
        <v>311</v>
      </c>
      <c r="D203" s="14"/>
      <c r="E203" s="2"/>
      <c r="F203" s="16">
        <v>90310.69</v>
      </c>
      <c r="G203" s="15" t="s">
        <v>1</v>
      </c>
      <c r="H203" s="2">
        <v>1</v>
      </c>
      <c r="I203" s="2">
        <v>1</v>
      </c>
      <c r="J203" s="16">
        <v>1083.73</v>
      </c>
      <c r="K203" s="16"/>
    </row>
    <row r="204" spans="1:22" ht="55.2" x14ac:dyDescent="0.3">
      <c r="A204" s="13" t="s">
        <v>53</v>
      </c>
      <c r="B204" s="13" t="s">
        <v>54</v>
      </c>
      <c r="C204" s="13" t="s">
        <v>55</v>
      </c>
      <c r="D204" s="14" t="s">
        <v>41</v>
      </c>
      <c r="E204" s="2">
        <v>-1.2</v>
      </c>
      <c r="F204" s="16">
        <v>781.87</v>
      </c>
      <c r="G204" s="25" t="s">
        <v>1</v>
      </c>
      <c r="H204" s="2">
        <v>1</v>
      </c>
      <c r="I204" s="2">
        <v>1</v>
      </c>
      <c r="J204" s="16">
        <v>-938.24</v>
      </c>
      <c r="K204" s="16"/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ht="54.6" x14ac:dyDescent="0.3">
      <c r="A205" s="13" t="s">
        <v>56</v>
      </c>
      <c r="B205" s="13" t="s">
        <v>43</v>
      </c>
      <c r="C205" s="13" t="s">
        <v>321</v>
      </c>
      <c r="D205" s="14" t="s">
        <v>41</v>
      </c>
      <c r="E205" s="2">
        <v>1.2</v>
      </c>
      <c r="F205" s="16">
        <v>1424.3200000000002</v>
      </c>
      <c r="G205" s="25" t="s">
        <v>1</v>
      </c>
      <c r="H205" s="2">
        <v>1</v>
      </c>
      <c r="I205" s="2">
        <v>1</v>
      </c>
      <c r="J205" s="16">
        <v>1709.18</v>
      </c>
      <c r="K205" s="16"/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ht="14.4" x14ac:dyDescent="0.3">
      <c r="A206" s="13"/>
      <c r="B206" s="13"/>
      <c r="C206" s="13" t="s">
        <v>312</v>
      </c>
      <c r="D206" s="14" t="s">
        <v>313</v>
      </c>
      <c r="E206" s="2">
        <v>70</v>
      </c>
      <c r="F206" s="16"/>
      <c r="G206" s="15"/>
      <c r="H206" s="2"/>
      <c r="I206" s="2"/>
      <c r="J206" s="16">
        <v>550.46</v>
      </c>
      <c r="K206" s="16"/>
    </row>
    <row r="207" spans="1:22" ht="14.4" x14ac:dyDescent="0.3">
      <c r="A207" s="13"/>
      <c r="B207" s="13"/>
      <c r="C207" s="13" t="s">
        <v>314</v>
      </c>
      <c r="D207" s="14" t="s">
        <v>313</v>
      </c>
      <c r="E207" s="2">
        <v>10</v>
      </c>
      <c r="F207" s="16"/>
      <c r="G207" s="15"/>
      <c r="H207" s="2"/>
      <c r="I207" s="2"/>
      <c r="J207" s="16">
        <v>78.64</v>
      </c>
      <c r="K207" s="16"/>
    </row>
    <row r="208" spans="1:22" ht="14.4" x14ac:dyDescent="0.3">
      <c r="A208" s="13"/>
      <c r="B208" s="13"/>
      <c r="C208" s="13" t="s">
        <v>319</v>
      </c>
      <c r="D208" s="14" t="s">
        <v>313</v>
      </c>
      <c r="E208" s="2">
        <v>108</v>
      </c>
      <c r="F208" s="16"/>
      <c r="G208" s="15"/>
      <c r="H208" s="2"/>
      <c r="I208" s="2"/>
      <c r="J208" s="16">
        <v>51.92</v>
      </c>
      <c r="K208" s="16"/>
    </row>
    <row r="209" spans="1:22" ht="14.4" x14ac:dyDescent="0.3">
      <c r="A209" s="13"/>
      <c r="B209" s="13"/>
      <c r="C209" s="13" t="s">
        <v>315</v>
      </c>
      <c r="D209" s="14" t="s">
        <v>316</v>
      </c>
      <c r="E209" s="2">
        <v>116.6</v>
      </c>
      <c r="F209" s="16"/>
      <c r="G209" s="15" t="s">
        <v>1</v>
      </c>
      <c r="H209" s="2">
        <v>1</v>
      </c>
      <c r="I209" s="2"/>
      <c r="J209" s="16"/>
      <c r="K209" s="16">
        <v>1.3992</v>
      </c>
    </row>
    <row r="210" spans="1:22" ht="13.8" x14ac:dyDescent="0.25">
      <c r="A210" s="20"/>
      <c r="B210" s="20"/>
      <c r="C210" s="20"/>
      <c r="D210" s="20"/>
      <c r="E210" s="20"/>
      <c r="F210" s="20"/>
      <c r="G210" s="20"/>
      <c r="H210" s="20"/>
      <c r="I210" s="58">
        <v>3376.7200000000003</v>
      </c>
      <c r="J210" s="58"/>
      <c r="K210" s="21">
        <v>281393.33</v>
      </c>
      <c r="P210" s="18">
        <v>3376.7200000000003</v>
      </c>
    </row>
    <row r="211" spans="1:22" ht="27.6" x14ac:dyDescent="0.3">
      <c r="A211" s="13">
        <v>18</v>
      </c>
      <c r="B211" s="13" t="s">
        <v>57</v>
      </c>
      <c r="C211" s="13" t="s">
        <v>58</v>
      </c>
      <c r="D211" s="14" t="s">
        <v>41</v>
      </c>
      <c r="E211" s="2">
        <v>1.8</v>
      </c>
      <c r="F211" s="16"/>
      <c r="G211" s="15"/>
      <c r="H211" s="2"/>
      <c r="I211" s="2"/>
      <c r="J211" s="16"/>
      <c r="K211" s="16"/>
      <c r="Q211">
        <v>350.88</v>
      </c>
      <c r="R211">
        <v>350.88</v>
      </c>
      <c r="S211">
        <v>50.13</v>
      </c>
      <c r="T211">
        <v>50.13</v>
      </c>
      <c r="U211">
        <v>0</v>
      </c>
      <c r="V211">
        <v>0</v>
      </c>
    </row>
    <row r="212" spans="1:22" ht="14.4" x14ac:dyDescent="0.3">
      <c r="A212" s="13"/>
      <c r="B212" s="13"/>
      <c r="C212" s="13" t="s">
        <v>310</v>
      </c>
      <c r="D212" s="14"/>
      <c r="E212" s="2"/>
      <c r="F212" s="16">
        <v>278.47000000000003</v>
      </c>
      <c r="G212" s="15" t="s">
        <v>1</v>
      </c>
      <c r="H212" s="2">
        <v>1</v>
      </c>
      <c r="I212" s="2">
        <v>1</v>
      </c>
      <c r="J212" s="16">
        <v>501.25</v>
      </c>
      <c r="K212" s="16"/>
    </row>
    <row r="213" spans="1:22" ht="14.4" x14ac:dyDescent="0.3">
      <c r="A213" s="13"/>
      <c r="B213" s="13"/>
      <c r="C213" s="13" t="s">
        <v>312</v>
      </c>
      <c r="D213" s="14" t="s">
        <v>313</v>
      </c>
      <c r="E213" s="2">
        <v>70</v>
      </c>
      <c r="F213" s="16"/>
      <c r="G213" s="15"/>
      <c r="H213" s="2"/>
      <c r="I213" s="2"/>
      <c r="J213" s="16">
        <v>350.88</v>
      </c>
      <c r="K213" s="16"/>
    </row>
    <row r="214" spans="1:22" ht="14.4" x14ac:dyDescent="0.3">
      <c r="A214" s="13"/>
      <c r="B214" s="13"/>
      <c r="C214" s="13" t="s">
        <v>314</v>
      </c>
      <c r="D214" s="14" t="s">
        <v>313</v>
      </c>
      <c r="E214" s="2">
        <v>10</v>
      </c>
      <c r="F214" s="16"/>
      <c r="G214" s="15"/>
      <c r="H214" s="2"/>
      <c r="I214" s="2"/>
      <c r="J214" s="16">
        <v>50.13</v>
      </c>
      <c r="K214" s="16"/>
    </row>
    <row r="215" spans="1:22" ht="14.4" x14ac:dyDescent="0.3">
      <c r="A215" s="13"/>
      <c r="B215" s="13"/>
      <c r="C215" s="13" t="s">
        <v>315</v>
      </c>
      <c r="D215" s="14" t="s">
        <v>316</v>
      </c>
      <c r="E215" s="2">
        <v>0.6</v>
      </c>
      <c r="F215" s="16"/>
      <c r="G215" s="15" t="s">
        <v>1</v>
      </c>
      <c r="H215" s="2">
        <v>1</v>
      </c>
      <c r="I215" s="2"/>
      <c r="J215" s="16"/>
      <c r="K215" s="16">
        <v>1.08</v>
      </c>
    </row>
    <row r="216" spans="1:22" ht="13.8" x14ac:dyDescent="0.25">
      <c r="A216" s="20"/>
      <c r="B216" s="20"/>
      <c r="C216" s="20"/>
      <c r="D216" s="20"/>
      <c r="E216" s="20"/>
      <c r="F216" s="20"/>
      <c r="G216" s="20"/>
      <c r="H216" s="20"/>
      <c r="I216" s="58">
        <v>902.26</v>
      </c>
      <c r="J216" s="58"/>
      <c r="K216" s="21">
        <v>501.26</v>
      </c>
      <c r="P216" s="18">
        <v>902.26</v>
      </c>
    </row>
    <row r="217" spans="1:22" ht="41.4" x14ac:dyDescent="0.3">
      <c r="A217" s="13">
        <v>19</v>
      </c>
      <c r="B217" s="13" t="s">
        <v>59</v>
      </c>
      <c r="C217" s="13" t="s">
        <v>60</v>
      </c>
      <c r="D217" s="14" t="s">
        <v>4</v>
      </c>
      <c r="E217" s="2">
        <v>1.7999999999999999E-2</v>
      </c>
      <c r="F217" s="16"/>
      <c r="G217" s="15"/>
      <c r="H217" s="2"/>
      <c r="I217" s="2"/>
      <c r="J217" s="16"/>
      <c r="K217" s="16"/>
      <c r="Q217">
        <v>53.77</v>
      </c>
      <c r="R217">
        <v>53.77</v>
      </c>
      <c r="S217">
        <v>7.68</v>
      </c>
      <c r="T217">
        <v>7.68</v>
      </c>
      <c r="U217">
        <v>0.54</v>
      </c>
      <c r="V217">
        <v>0.33</v>
      </c>
    </row>
    <row r="218" spans="1:22" x14ac:dyDescent="0.25">
      <c r="C218" s="17" t="s">
        <v>413</v>
      </c>
    </row>
    <row r="219" spans="1:22" ht="14.4" x14ac:dyDescent="0.3">
      <c r="A219" s="13"/>
      <c r="B219" s="13"/>
      <c r="C219" s="13" t="s">
        <v>310</v>
      </c>
      <c r="D219" s="14"/>
      <c r="E219" s="2"/>
      <c r="F219" s="16">
        <v>4267.96</v>
      </c>
      <c r="G219" s="15" t="s">
        <v>1</v>
      </c>
      <c r="H219" s="2">
        <v>1</v>
      </c>
      <c r="I219" s="2">
        <v>1</v>
      </c>
      <c r="J219" s="16">
        <v>76.819999999999993</v>
      </c>
      <c r="K219" s="16"/>
    </row>
    <row r="220" spans="1:22" ht="14.4" x14ac:dyDescent="0.3">
      <c r="A220" s="13"/>
      <c r="B220" s="13"/>
      <c r="C220" s="13" t="s">
        <v>317</v>
      </c>
      <c r="D220" s="14"/>
      <c r="E220" s="2"/>
      <c r="F220" s="16">
        <v>257.97000000000003</v>
      </c>
      <c r="G220" s="15" t="s">
        <v>1</v>
      </c>
      <c r="H220" s="2">
        <v>1</v>
      </c>
      <c r="I220" s="2">
        <v>1</v>
      </c>
      <c r="J220" s="16">
        <v>4.6399999999999997</v>
      </c>
      <c r="K220" s="16"/>
    </row>
    <row r="221" spans="1:22" ht="14.4" x14ac:dyDescent="0.3">
      <c r="A221" s="13"/>
      <c r="B221" s="13"/>
      <c r="C221" s="13" t="s">
        <v>318</v>
      </c>
      <c r="D221" s="14"/>
      <c r="E221" s="2"/>
      <c r="F221" s="16">
        <v>17.239999999999998</v>
      </c>
      <c r="G221" s="15" t="s">
        <v>1</v>
      </c>
      <c r="H221" s="2">
        <v>1</v>
      </c>
      <c r="I221" s="2">
        <v>1</v>
      </c>
      <c r="J221" s="22">
        <v>0.31</v>
      </c>
      <c r="K221" s="16"/>
    </row>
    <row r="222" spans="1:22" ht="14.4" x14ac:dyDescent="0.3">
      <c r="A222" s="13"/>
      <c r="B222" s="13"/>
      <c r="C222" s="13" t="s">
        <v>311</v>
      </c>
      <c r="D222" s="14"/>
      <c r="E222" s="2"/>
      <c r="F222" s="16">
        <v>1134.01</v>
      </c>
      <c r="G222" s="15" t="s">
        <v>1</v>
      </c>
      <c r="H222" s="2">
        <v>1</v>
      </c>
      <c r="I222" s="2">
        <v>1</v>
      </c>
      <c r="J222" s="16">
        <v>20.41</v>
      </c>
      <c r="K222" s="16"/>
    </row>
    <row r="223" spans="1:22" ht="14.4" x14ac:dyDescent="0.3">
      <c r="A223" s="13"/>
      <c r="B223" s="13"/>
      <c r="C223" s="13" t="s">
        <v>312</v>
      </c>
      <c r="D223" s="14" t="s">
        <v>313</v>
      </c>
      <c r="E223" s="2">
        <v>70</v>
      </c>
      <c r="F223" s="16"/>
      <c r="G223" s="15"/>
      <c r="H223" s="2"/>
      <c r="I223" s="2"/>
      <c r="J223" s="16">
        <v>53.77</v>
      </c>
      <c r="K223" s="16"/>
    </row>
    <row r="224" spans="1:22" ht="14.4" x14ac:dyDescent="0.3">
      <c r="A224" s="13"/>
      <c r="B224" s="13"/>
      <c r="C224" s="13" t="s">
        <v>314</v>
      </c>
      <c r="D224" s="14" t="s">
        <v>313</v>
      </c>
      <c r="E224" s="2">
        <v>10</v>
      </c>
      <c r="F224" s="16"/>
      <c r="G224" s="15"/>
      <c r="H224" s="2"/>
      <c r="I224" s="2"/>
      <c r="J224" s="16">
        <v>7.68</v>
      </c>
      <c r="K224" s="16"/>
    </row>
    <row r="225" spans="1:22" ht="14.4" x14ac:dyDescent="0.3">
      <c r="A225" s="13"/>
      <c r="B225" s="13"/>
      <c r="C225" s="13" t="s">
        <v>319</v>
      </c>
      <c r="D225" s="14" t="s">
        <v>313</v>
      </c>
      <c r="E225" s="2">
        <v>108</v>
      </c>
      <c r="F225" s="16"/>
      <c r="G225" s="15"/>
      <c r="H225" s="2"/>
      <c r="I225" s="2"/>
      <c r="J225" s="16">
        <v>0.33</v>
      </c>
      <c r="K225" s="16"/>
    </row>
    <row r="226" spans="1:22" ht="14.4" x14ac:dyDescent="0.3">
      <c r="A226" s="13"/>
      <c r="B226" s="13"/>
      <c r="C226" s="13" t="s">
        <v>315</v>
      </c>
      <c r="D226" s="14" t="s">
        <v>316</v>
      </c>
      <c r="E226" s="2">
        <v>6.11</v>
      </c>
      <c r="F226" s="16"/>
      <c r="G226" s="15" t="s">
        <v>1</v>
      </c>
      <c r="H226" s="2">
        <v>1</v>
      </c>
      <c r="I226" s="2"/>
      <c r="J226" s="16"/>
      <c r="K226" s="16">
        <v>0.10997999999999999</v>
      </c>
    </row>
    <row r="227" spans="1:22" ht="13.8" x14ac:dyDescent="0.25">
      <c r="A227" s="20"/>
      <c r="B227" s="20"/>
      <c r="C227" s="20"/>
      <c r="D227" s="20"/>
      <c r="E227" s="20"/>
      <c r="F227" s="20"/>
      <c r="G227" s="20"/>
      <c r="H227" s="20"/>
      <c r="I227" s="58">
        <v>163.65</v>
      </c>
      <c r="J227" s="58"/>
      <c r="K227" s="21">
        <v>9091.67</v>
      </c>
      <c r="P227" s="18">
        <v>163.65</v>
      </c>
    </row>
    <row r="228" spans="1:22" ht="41.4" x14ac:dyDescent="0.3">
      <c r="A228" s="13">
        <v>20</v>
      </c>
      <c r="B228" s="13" t="s">
        <v>61</v>
      </c>
      <c r="C228" s="13" t="s">
        <v>62</v>
      </c>
      <c r="D228" s="14" t="s">
        <v>4</v>
      </c>
      <c r="E228" s="2">
        <v>1.7999999999999999E-2</v>
      </c>
      <c r="F228" s="16"/>
      <c r="G228" s="15"/>
      <c r="H228" s="2"/>
      <c r="I228" s="2"/>
      <c r="J228" s="16"/>
      <c r="K228" s="16"/>
      <c r="Q228">
        <v>17.77</v>
      </c>
      <c r="R228">
        <v>17.77</v>
      </c>
      <c r="S228">
        <v>2.54</v>
      </c>
      <c r="T228">
        <v>2.54</v>
      </c>
      <c r="U228">
        <v>0.26</v>
      </c>
      <c r="V228">
        <v>0.16</v>
      </c>
    </row>
    <row r="229" spans="1:22" x14ac:dyDescent="0.25">
      <c r="C229" s="17" t="s">
        <v>413</v>
      </c>
    </row>
    <row r="230" spans="1:22" ht="14.4" x14ac:dyDescent="0.3">
      <c r="A230" s="13"/>
      <c r="B230" s="13"/>
      <c r="C230" s="13" t="s">
        <v>310</v>
      </c>
      <c r="D230" s="14"/>
      <c r="E230" s="2"/>
      <c r="F230" s="16">
        <v>1410.69</v>
      </c>
      <c r="G230" s="15" t="s">
        <v>1</v>
      </c>
      <c r="H230" s="2">
        <v>1</v>
      </c>
      <c r="I230" s="2">
        <v>1</v>
      </c>
      <c r="J230" s="16">
        <v>25.39</v>
      </c>
      <c r="K230" s="16"/>
    </row>
    <row r="231" spans="1:22" ht="14.4" x14ac:dyDescent="0.3">
      <c r="A231" s="13"/>
      <c r="B231" s="13"/>
      <c r="C231" s="13" t="s">
        <v>317</v>
      </c>
      <c r="D231" s="14"/>
      <c r="E231" s="2"/>
      <c r="F231" s="16">
        <v>15.1</v>
      </c>
      <c r="G231" s="15" t="s">
        <v>1</v>
      </c>
      <c r="H231" s="2">
        <v>1</v>
      </c>
      <c r="I231" s="2">
        <v>1</v>
      </c>
      <c r="J231" s="16">
        <v>0.27</v>
      </c>
      <c r="K231" s="16"/>
    </row>
    <row r="232" spans="1:22" ht="14.4" x14ac:dyDescent="0.3">
      <c r="A232" s="13"/>
      <c r="B232" s="13"/>
      <c r="C232" s="13" t="s">
        <v>318</v>
      </c>
      <c r="D232" s="14"/>
      <c r="E232" s="2"/>
      <c r="F232" s="16">
        <v>8.3800000000000008</v>
      </c>
      <c r="G232" s="15" t="s">
        <v>1</v>
      </c>
      <c r="H232" s="2">
        <v>1</v>
      </c>
      <c r="I232" s="2">
        <v>1</v>
      </c>
      <c r="J232" s="22">
        <v>0.15</v>
      </c>
      <c r="K232" s="16"/>
    </row>
    <row r="233" spans="1:22" ht="14.4" x14ac:dyDescent="0.3">
      <c r="A233" s="13"/>
      <c r="B233" s="13"/>
      <c r="C233" s="13" t="s">
        <v>311</v>
      </c>
      <c r="D233" s="14"/>
      <c r="E233" s="2"/>
      <c r="F233" s="16">
        <v>1134.0999999999999</v>
      </c>
      <c r="G233" s="15" t="s">
        <v>1</v>
      </c>
      <c r="H233" s="2">
        <v>1</v>
      </c>
      <c r="I233" s="2">
        <v>1</v>
      </c>
      <c r="J233" s="16">
        <v>20.41</v>
      </c>
      <c r="K233" s="16"/>
    </row>
    <row r="234" spans="1:22" ht="14.4" x14ac:dyDescent="0.3">
      <c r="A234" s="13"/>
      <c r="B234" s="13"/>
      <c r="C234" s="13" t="s">
        <v>312</v>
      </c>
      <c r="D234" s="14" t="s">
        <v>313</v>
      </c>
      <c r="E234" s="2">
        <v>70</v>
      </c>
      <c r="F234" s="16"/>
      <c r="G234" s="15"/>
      <c r="H234" s="2"/>
      <c r="I234" s="2"/>
      <c r="J234" s="16">
        <v>17.77</v>
      </c>
      <c r="K234" s="16"/>
    </row>
    <row r="235" spans="1:22" ht="14.4" x14ac:dyDescent="0.3">
      <c r="A235" s="13"/>
      <c r="B235" s="13"/>
      <c r="C235" s="13" t="s">
        <v>314</v>
      </c>
      <c r="D235" s="14" t="s">
        <v>313</v>
      </c>
      <c r="E235" s="2">
        <v>10</v>
      </c>
      <c r="F235" s="16"/>
      <c r="G235" s="15"/>
      <c r="H235" s="2"/>
      <c r="I235" s="2"/>
      <c r="J235" s="16">
        <v>2.54</v>
      </c>
      <c r="K235" s="16"/>
    </row>
    <row r="236" spans="1:22" ht="14.4" x14ac:dyDescent="0.3">
      <c r="A236" s="13"/>
      <c r="B236" s="13"/>
      <c r="C236" s="13" t="s">
        <v>319</v>
      </c>
      <c r="D236" s="14" t="s">
        <v>313</v>
      </c>
      <c r="E236" s="2">
        <v>108</v>
      </c>
      <c r="F236" s="16"/>
      <c r="G236" s="15"/>
      <c r="H236" s="2"/>
      <c r="I236" s="2"/>
      <c r="J236" s="16">
        <v>0.16</v>
      </c>
      <c r="K236" s="16"/>
    </row>
    <row r="237" spans="1:22" ht="14.4" x14ac:dyDescent="0.3">
      <c r="A237" s="13"/>
      <c r="B237" s="13"/>
      <c r="C237" s="13" t="s">
        <v>315</v>
      </c>
      <c r="D237" s="14" t="s">
        <v>316</v>
      </c>
      <c r="E237" s="2">
        <v>2.4500000000000002</v>
      </c>
      <c r="F237" s="16"/>
      <c r="G237" s="15" t="s">
        <v>1</v>
      </c>
      <c r="H237" s="2">
        <v>1</v>
      </c>
      <c r="I237" s="2"/>
      <c r="J237" s="16"/>
      <c r="K237" s="16">
        <v>4.41E-2</v>
      </c>
    </row>
    <row r="238" spans="1:22" ht="13.8" x14ac:dyDescent="0.25">
      <c r="A238" s="20"/>
      <c r="B238" s="20"/>
      <c r="C238" s="20"/>
      <c r="D238" s="20"/>
      <c r="E238" s="20"/>
      <c r="F238" s="20"/>
      <c r="G238" s="20"/>
      <c r="H238" s="20"/>
      <c r="I238" s="58">
        <v>66.540000000000006</v>
      </c>
      <c r="J238" s="58"/>
      <c r="K238" s="21">
        <v>3696.67</v>
      </c>
      <c r="P238" s="18">
        <v>66.540000000000006</v>
      </c>
    </row>
    <row r="239" spans="1:22" ht="27.6" x14ac:dyDescent="0.3">
      <c r="A239" s="13">
        <v>21</v>
      </c>
      <c r="B239" s="13" t="s">
        <v>63</v>
      </c>
      <c r="C239" s="13" t="s">
        <v>64</v>
      </c>
      <c r="D239" s="14" t="s">
        <v>4</v>
      </c>
      <c r="E239" s="2">
        <v>9.1999999999999998E-2</v>
      </c>
      <c r="F239" s="16"/>
      <c r="G239" s="15"/>
      <c r="H239" s="2"/>
      <c r="I239" s="2"/>
      <c r="J239" s="16"/>
      <c r="K239" s="16"/>
      <c r="Q239">
        <v>2008.27</v>
      </c>
      <c r="R239">
        <v>2008.27</v>
      </c>
      <c r="S239">
        <v>286.89999999999998</v>
      </c>
      <c r="T239">
        <v>286.89999999999998</v>
      </c>
      <c r="U239">
        <v>0</v>
      </c>
      <c r="V239">
        <v>0</v>
      </c>
    </row>
    <row r="240" spans="1:22" x14ac:dyDescent="0.25">
      <c r="C240" s="17" t="s">
        <v>414</v>
      </c>
    </row>
    <row r="241" spans="1:22" ht="14.4" x14ac:dyDescent="0.3">
      <c r="A241" s="13"/>
      <c r="B241" s="13"/>
      <c r="C241" s="13" t="s">
        <v>310</v>
      </c>
      <c r="D241" s="14"/>
      <c r="E241" s="2"/>
      <c r="F241" s="16">
        <v>31184.22</v>
      </c>
      <c r="G241" s="15" t="s">
        <v>1</v>
      </c>
      <c r="H241" s="2">
        <v>1</v>
      </c>
      <c r="I241" s="2">
        <v>1</v>
      </c>
      <c r="J241" s="16">
        <v>2868.95</v>
      </c>
      <c r="K241" s="16"/>
    </row>
    <row r="242" spans="1:22" ht="14.4" x14ac:dyDescent="0.3">
      <c r="A242" s="13"/>
      <c r="B242" s="13"/>
      <c r="C242" s="13" t="s">
        <v>312</v>
      </c>
      <c r="D242" s="14" t="s">
        <v>313</v>
      </c>
      <c r="E242" s="2">
        <v>70</v>
      </c>
      <c r="F242" s="16"/>
      <c r="G242" s="15"/>
      <c r="H242" s="2"/>
      <c r="I242" s="2"/>
      <c r="J242" s="16">
        <v>2008.27</v>
      </c>
      <c r="K242" s="16"/>
    </row>
    <row r="243" spans="1:22" ht="14.4" x14ac:dyDescent="0.3">
      <c r="A243" s="13"/>
      <c r="B243" s="13"/>
      <c r="C243" s="13" t="s">
        <v>314</v>
      </c>
      <c r="D243" s="14" t="s">
        <v>313</v>
      </c>
      <c r="E243" s="2">
        <v>10</v>
      </c>
      <c r="F243" s="16"/>
      <c r="G243" s="15"/>
      <c r="H243" s="2"/>
      <c r="I243" s="2"/>
      <c r="J243" s="16">
        <v>286.89999999999998</v>
      </c>
      <c r="K243" s="16"/>
    </row>
    <row r="244" spans="1:22" ht="14.4" x14ac:dyDescent="0.3">
      <c r="A244" s="13"/>
      <c r="B244" s="13"/>
      <c r="C244" s="13" t="s">
        <v>315</v>
      </c>
      <c r="D244" s="14" t="s">
        <v>316</v>
      </c>
      <c r="E244" s="2">
        <v>67.19</v>
      </c>
      <c r="F244" s="16"/>
      <c r="G244" s="15" t="s">
        <v>1</v>
      </c>
      <c r="H244" s="2">
        <v>1</v>
      </c>
      <c r="I244" s="2"/>
      <c r="J244" s="16"/>
      <c r="K244" s="16">
        <v>6.1814799999999996</v>
      </c>
    </row>
    <row r="245" spans="1:22" ht="13.8" x14ac:dyDescent="0.25">
      <c r="A245" s="20"/>
      <c r="B245" s="20"/>
      <c r="C245" s="20"/>
      <c r="D245" s="20"/>
      <c r="E245" s="20"/>
      <c r="F245" s="20"/>
      <c r="G245" s="20"/>
      <c r="H245" s="20"/>
      <c r="I245" s="58">
        <v>5164.119999999999</v>
      </c>
      <c r="J245" s="58"/>
      <c r="K245" s="21">
        <v>56131.74</v>
      </c>
      <c r="P245" s="18">
        <v>5164.119999999999</v>
      </c>
    </row>
    <row r="246" spans="1:22" ht="27.6" x14ac:dyDescent="0.3">
      <c r="A246" s="13">
        <v>22</v>
      </c>
      <c r="B246" s="13" t="s">
        <v>65</v>
      </c>
      <c r="C246" s="13" t="s">
        <v>66</v>
      </c>
      <c r="D246" s="14" t="s">
        <v>4</v>
      </c>
      <c r="E246" s="2">
        <v>9.1999999999999998E-2</v>
      </c>
      <c r="F246" s="16"/>
      <c r="G246" s="15"/>
      <c r="H246" s="2"/>
      <c r="I246" s="2"/>
      <c r="J246" s="16"/>
      <c r="K246" s="16"/>
      <c r="Q246">
        <v>1463.8</v>
      </c>
      <c r="R246">
        <v>1463.8</v>
      </c>
      <c r="S246">
        <v>209.11</v>
      </c>
      <c r="T246">
        <v>209.11</v>
      </c>
      <c r="U246">
        <v>0.05</v>
      </c>
      <c r="V246">
        <v>0.03</v>
      </c>
    </row>
    <row r="247" spans="1:22" x14ac:dyDescent="0.25">
      <c r="C247" s="17" t="s">
        <v>414</v>
      </c>
    </row>
    <row r="248" spans="1:22" ht="14.4" x14ac:dyDescent="0.3">
      <c r="A248" s="13"/>
      <c r="B248" s="13"/>
      <c r="C248" s="13" t="s">
        <v>310</v>
      </c>
      <c r="D248" s="14"/>
      <c r="E248" s="2"/>
      <c r="F248" s="16">
        <v>22729.78</v>
      </c>
      <c r="G248" s="15" t="s">
        <v>1</v>
      </c>
      <c r="H248" s="2">
        <v>1</v>
      </c>
      <c r="I248" s="2">
        <v>1</v>
      </c>
      <c r="J248" s="16">
        <v>2091.14</v>
      </c>
      <c r="K248" s="16"/>
    </row>
    <row r="249" spans="1:22" ht="14.4" x14ac:dyDescent="0.3">
      <c r="A249" s="13"/>
      <c r="B249" s="13"/>
      <c r="C249" s="13" t="s">
        <v>317</v>
      </c>
      <c r="D249" s="14"/>
      <c r="E249" s="2"/>
      <c r="F249" s="16">
        <v>14.21</v>
      </c>
      <c r="G249" s="15" t="s">
        <v>1</v>
      </c>
      <c r="H249" s="2">
        <v>1</v>
      </c>
      <c r="I249" s="2">
        <v>1</v>
      </c>
      <c r="J249" s="16">
        <v>1.31</v>
      </c>
      <c r="K249" s="16"/>
    </row>
    <row r="250" spans="1:22" ht="14.4" x14ac:dyDescent="0.3">
      <c r="A250" s="13"/>
      <c r="B250" s="13"/>
      <c r="C250" s="13" t="s">
        <v>318</v>
      </c>
      <c r="D250" s="14"/>
      <c r="E250" s="2"/>
      <c r="F250" s="16">
        <v>0.3</v>
      </c>
      <c r="G250" s="15" t="s">
        <v>1</v>
      </c>
      <c r="H250" s="2">
        <v>1</v>
      </c>
      <c r="I250" s="2">
        <v>1</v>
      </c>
      <c r="J250" s="22">
        <v>0.03</v>
      </c>
      <c r="K250" s="16"/>
    </row>
    <row r="251" spans="1:22" ht="14.4" x14ac:dyDescent="0.3">
      <c r="A251" s="13"/>
      <c r="B251" s="13"/>
      <c r="C251" s="13" t="s">
        <v>311</v>
      </c>
      <c r="D251" s="14"/>
      <c r="E251" s="2"/>
      <c r="F251" s="16">
        <v>94236.34</v>
      </c>
      <c r="G251" s="15" t="s">
        <v>1</v>
      </c>
      <c r="H251" s="2">
        <v>1</v>
      </c>
      <c r="I251" s="2">
        <v>1</v>
      </c>
      <c r="J251" s="16">
        <v>8669.74</v>
      </c>
      <c r="K251" s="16"/>
    </row>
    <row r="252" spans="1:22" ht="14.4" x14ac:dyDescent="0.3">
      <c r="A252" s="13"/>
      <c r="B252" s="13"/>
      <c r="C252" s="13" t="s">
        <v>312</v>
      </c>
      <c r="D252" s="14" t="s">
        <v>313</v>
      </c>
      <c r="E252" s="2">
        <v>70</v>
      </c>
      <c r="F252" s="16"/>
      <c r="G252" s="15"/>
      <c r="H252" s="2"/>
      <c r="I252" s="2"/>
      <c r="J252" s="16">
        <v>1463.8</v>
      </c>
      <c r="K252" s="16"/>
    </row>
    <row r="253" spans="1:22" ht="14.4" x14ac:dyDescent="0.3">
      <c r="A253" s="13"/>
      <c r="B253" s="13"/>
      <c r="C253" s="13" t="s">
        <v>314</v>
      </c>
      <c r="D253" s="14" t="s">
        <v>313</v>
      </c>
      <c r="E253" s="2">
        <v>10</v>
      </c>
      <c r="F253" s="16"/>
      <c r="G253" s="15"/>
      <c r="H253" s="2"/>
      <c r="I253" s="2"/>
      <c r="J253" s="16">
        <v>209.11</v>
      </c>
      <c r="K253" s="16"/>
    </row>
    <row r="254" spans="1:22" ht="14.4" x14ac:dyDescent="0.3">
      <c r="A254" s="13"/>
      <c r="B254" s="13"/>
      <c r="C254" s="13" t="s">
        <v>319</v>
      </c>
      <c r="D254" s="14" t="s">
        <v>313</v>
      </c>
      <c r="E254" s="2">
        <v>108</v>
      </c>
      <c r="F254" s="16"/>
      <c r="G254" s="15"/>
      <c r="H254" s="2"/>
      <c r="I254" s="2"/>
      <c r="J254" s="16">
        <v>0.03</v>
      </c>
      <c r="K254" s="16"/>
    </row>
    <row r="255" spans="1:22" ht="14.4" x14ac:dyDescent="0.3">
      <c r="A255" s="13"/>
      <c r="B255" s="13"/>
      <c r="C255" s="13" t="s">
        <v>315</v>
      </c>
      <c r="D255" s="14" t="s">
        <v>316</v>
      </c>
      <c r="E255" s="2">
        <v>42.85</v>
      </c>
      <c r="F255" s="16"/>
      <c r="G255" s="15" t="s">
        <v>1</v>
      </c>
      <c r="H255" s="2">
        <v>1</v>
      </c>
      <c r="I255" s="2"/>
      <c r="J255" s="16"/>
      <c r="K255" s="16">
        <v>3.9422000000000001</v>
      </c>
    </row>
    <row r="256" spans="1:22" ht="13.8" x14ac:dyDescent="0.25">
      <c r="A256" s="20"/>
      <c r="B256" s="20"/>
      <c r="C256" s="20"/>
      <c r="D256" s="20"/>
      <c r="E256" s="20"/>
      <c r="F256" s="20"/>
      <c r="G256" s="20"/>
      <c r="H256" s="20"/>
      <c r="I256" s="58">
        <v>12435.13</v>
      </c>
      <c r="J256" s="58"/>
      <c r="K256" s="21">
        <v>135164.46</v>
      </c>
      <c r="P256" s="18">
        <v>12435.13</v>
      </c>
    </row>
    <row r="258" spans="1:22" ht="13.8" x14ac:dyDescent="0.25">
      <c r="A258" s="61" t="s">
        <v>415</v>
      </c>
      <c r="B258" s="61"/>
      <c r="C258" s="61"/>
      <c r="D258" s="61"/>
      <c r="E258" s="61"/>
      <c r="F258" s="61"/>
      <c r="G258" s="61"/>
      <c r="H258" s="61"/>
      <c r="I258" s="59">
        <v>96568.239999999976</v>
      </c>
      <c r="J258" s="60"/>
      <c r="K258" s="23"/>
    </row>
    <row r="261" spans="1:22" ht="16.8" x14ac:dyDescent="0.3">
      <c r="A261" s="57" t="s">
        <v>394</v>
      </c>
      <c r="B261" s="57"/>
      <c r="C261" s="57"/>
      <c r="D261" s="57"/>
      <c r="E261" s="57"/>
      <c r="F261" s="57"/>
      <c r="G261" s="57"/>
      <c r="H261" s="57"/>
      <c r="I261" s="57"/>
      <c r="J261" s="57"/>
      <c r="K261" s="57"/>
    </row>
    <row r="262" spans="1:22" ht="80.400000000000006" x14ac:dyDescent="0.3">
      <c r="A262" s="13">
        <v>23</v>
      </c>
      <c r="B262" s="13" t="s">
        <v>320</v>
      </c>
      <c r="C262" s="13" t="s">
        <v>18</v>
      </c>
      <c r="D262" s="14" t="s">
        <v>4</v>
      </c>
      <c r="E262" s="2">
        <v>0.26</v>
      </c>
      <c r="F262" s="16"/>
      <c r="G262" s="15"/>
      <c r="H262" s="2"/>
      <c r="I262" s="2"/>
      <c r="J262" s="16"/>
      <c r="K262" s="16"/>
      <c r="Q262">
        <v>3960.78</v>
      </c>
      <c r="R262">
        <v>3960.78</v>
      </c>
      <c r="S262">
        <v>565.83000000000004</v>
      </c>
      <c r="T262">
        <v>565.83000000000004</v>
      </c>
      <c r="U262">
        <v>0.05</v>
      </c>
      <c r="V262">
        <v>0.03</v>
      </c>
    </row>
    <row r="263" spans="1:22" x14ac:dyDescent="0.25">
      <c r="C263" s="17" t="s">
        <v>416</v>
      </c>
    </row>
    <row r="264" spans="1:22" ht="14.4" x14ac:dyDescent="0.3">
      <c r="A264" s="13"/>
      <c r="B264" s="13"/>
      <c r="C264" s="13" t="s">
        <v>310</v>
      </c>
      <c r="D264" s="14"/>
      <c r="E264" s="2"/>
      <c r="F264" s="16">
        <v>36270.910000000003</v>
      </c>
      <c r="G264" s="15" t="s">
        <v>19</v>
      </c>
      <c r="H264" s="2">
        <v>1</v>
      </c>
      <c r="I264" s="2">
        <v>1</v>
      </c>
      <c r="J264" s="16">
        <v>5658.26</v>
      </c>
      <c r="K264" s="16"/>
    </row>
    <row r="265" spans="1:22" ht="14.4" x14ac:dyDescent="0.3">
      <c r="A265" s="13"/>
      <c r="B265" s="13"/>
      <c r="C265" s="13" t="s">
        <v>317</v>
      </c>
      <c r="D265" s="14"/>
      <c r="E265" s="2"/>
      <c r="F265" s="16">
        <v>35.68</v>
      </c>
      <c r="G265" s="15" t="s">
        <v>19</v>
      </c>
      <c r="H265" s="2">
        <v>1</v>
      </c>
      <c r="I265" s="2">
        <v>1</v>
      </c>
      <c r="J265" s="16">
        <v>5.57</v>
      </c>
      <c r="K265" s="16"/>
    </row>
    <row r="266" spans="1:22" ht="14.4" x14ac:dyDescent="0.3">
      <c r="A266" s="13"/>
      <c r="B266" s="13"/>
      <c r="C266" s="13" t="s">
        <v>318</v>
      </c>
      <c r="D266" s="14"/>
      <c r="E266" s="2"/>
      <c r="F266" s="16">
        <v>0.19</v>
      </c>
      <c r="G266" s="15" t="s">
        <v>19</v>
      </c>
      <c r="H266" s="2">
        <v>1</v>
      </c>
      <c r="I266" s="2">
        <v>1</v>
      </c>
      <c r="J266" s="22">
        <v>0.03</v>
      </c>
      <c r="K266" s="16"/>
    </row>
    <row r="267" spans="1:22" ht="14.4" x14ac:dyDescent="0.3">
      <c r="A267" s="13"/>
      <c r="B267" s="13"/>
      <c r="C267" s="13" t="s">
        <v>312</v>
      </c>
      <c r="D267" s="14" t="s">
        <v>313</v>
      </c>
      <c r="E267" s="2">
        <v>70</v>
      </c>
      <c r="F267" s="16"/>
      <c r="G267" s="15"/>
      <c r="H267" s="2"/>
      <c r="I267" s="2"/>
      <c r="J267" s="16">
        <v>3960.78</v>
      </c>
      <c r="K267" s="16"/>
    </row>
    <row r="268" spans="1:22" ht="14.4" x14ac:dyDescent="0.3">
      <c r="A268" s="13"/>
      <c r="B268" s="13"/>
      <c r="C268" s="13" t="s">
        <v>314</v>
      </c>
      <c r="D268" s="14" t="s">
        <v>313</v>
      </c>
      <c r="E268" s="2">
        <v>10</v>
      </c>
      <c r="F268" s="16"/>
      <c r="G268" s="15"/>
      <c r="H268" s="2"/>
      <c r="I268" s="2"/>
      <c r="J268" s="16">
        <v>565.83000000000004</v>
      </c>
      <c r="K268" s="16"/>
    </row>
    <row r="269" spans="1:22" ht="14.4" x14ac:dyDescent="0.3">
      <c r="A269" s="13"/>
      <c r="B269" s="13"/>
      <c r="C269" s="13" t="s">
        <v>319</v>
      </c>
      <c r="D269" s="14" t="s">
        <v>313</v>
      </c>
      <c r="E269" s="2">
        <v>108</v>
      </c>
      <c r="F269" s="16"/>
      <c r="G269" s="15"/>
      <c r="H269" s="2"/>
      <c r="I269" s="2"/>
      <c r="J269" s="16">
        <v>0.03</v>
      </c>
      <c r="K269" s="16"/>
    </row>
    <row r="270" spans="1:22" ht="14.4" x14ac:dyDescent="0.3">
      <c r="A270" s="13"/>
      <c r="B270" s="13"/>
      <c r="C270" s="13" t="s">
        <v>315</v>
      </c>
      <c r="D270" s="14" t="s">
        <v>316</v>
      </c>
      <c r="E270" s="2">
        <v>69.87</v>
      </c>
      <c r="F270" s="16"/>
      <c r="G270" s="15" t="s">
        <v>19</v>
      </c>
      <c r="H270" s="2">
        <v>1</v>
      </c>
      <c r="I270" s="2"/>
      <c r="J270" s="16"/>
      <c r="K270" s="16">
        <v>10.899720000000002</v>
      </c>
    </row>
    <row r="271" spans="1:22" ht="13.8" x14ac:dyDescent="0.25">
      <c r="A271" s="20"/>
      <c r="B271" s="20"/>
      <c r="C271" s="20"/>
      <c r="D271" s="20"/>
      <c r="E271" s="20"/>
      <c r="F271" s="20"/>
      <c r="G271" s="20"/>
      <c r="H271" s="20"/>
      <c r="I271" s="58">
        <v>10190.470000000001</v>
      </c>
      <c r="J271" s="58"/>
      <c r="K271" s="21">
        <v>39194.120000000003</v>
      </c>
      <c r="P271" s="18">
        <v>10190.470000000001</v>
      </c>
    </row>
    <row r="272" spans="1:22" ht="27.6" x14ac:dyDescent="0.3">
      <c r="A272" s="13">
        <v>24</v>
      </c>
      <c r="B272" s="13" t="s">
        <v>20</v>
      </c>
      <c r="C272" s="13" t="s">
        <v>21</v>
      </c>
      <c r="D272" s="14" t="s">
        <v>4</v>
      </c>
      <c r="E272" s="2">
        <v>0.26</v>
      </c>
      <c r="F272" s="16"/>
      <c r="G272" s="15"/>
      <c r="H272" s="2"/>
      <c r="I272" s="2"/>
      <c r="J272" s="16"/>
      <c r="K272" s="16"/>
      <c r="Q272">
        <v>2324.1999999999998</v>
      </c>
      <c r="R272">
        <v>2324.1999999999998</v>
      </c>
      <c r="S272">
        <v>332.03</v>
      </c>
      <c r="T272">
        <v>332.03</v>
      </c>
      <c r="U272">
        <v>0.61</v>
      </c>
      <c r="V272">
        <v>0.38</v>
      </c>
    </row>
    <row r="273" spans="1:22" x14ac:dyDescent="0.25">
      <c r="C273" s="17" t="s">
        <v>416</v>
      </c>
    </row>
    <row r="274" spans="1:22" ht="14.4" x14ac:dyDescent="0.3">
      <c r="A274" s="13"/>
      <c r="B274" s="13"/>
      <c r="C274" s="13" t="s">
        <v>310</v>
      </c>
      <c r="D274" s="14"/>
      <c r="E274" s="2"/>
      <c r="F274" s="16">
        <v>12770.35</v>
      </c>
      <c r="G274" s="15" t="s">
        <v>1</v>
      </c>
      <c r="H274" s="2">
        <v>1</v>
      </c>
      <c r="I274" s="2">
        <v>1</v>
      </c>
      <c r="J274" s="16">
        <v>3320.29</v>
      </c>
      <c r="K274" s="16"/>
    </row>
    <row r="275" spans="1:22" ht="14.4" x14ac:dyDescent="0.3">
      <c r="A275" s="13"/>
      <c r="B275" s="13"/>
      <c r="C275" s="13" t="s">
        <v>317</v>
      </c>
      <c r="D275" s="14"/>
      <c r="E275" s="2"/>
      <c r="F275" s="16">
        <v>257.70999999999998</v>
      </c>
      <c r="G275" s="15" t="s">
        <v>1</v>
      </c>
      <c r="H275" s="2">
        <v>1</v>
      </c>
      <c r="I275" s="2">
        <v>1</v>
      </c>
      <c r="J275" s="16">
        <v>67</v>
      </c>
      <c r="K275" s="16"/>
    </row>
    <row r="276" spans="1:22" ht="14.4" x14ac:dyDescent="0.3">
      <c r="A276" s="13"/>
      <c r="B276" s="13"/>
      <c r="C276" s="13" t="s">
        <v>318</v>
      </c>
      <c r="D276" s="14"/>
      <c r="E276" s="2"/>
      <c r="F276" s="16">
        <v>1.35</v>
      </c>
      <c r="G276" s="15" t="s">
        <v>1</v>
      </c>
      <c r="H276" s="2">
        <v>1</v>
      </c>
      <c r="I276" s="2">
        <v>1</v>
      </c>
      <c r="J276" s="22">
        <v>0.35</v>
      </c>
      <c r="K276" s="16"/>
    </row>
    <row r="277" spans="1:22" ht="14.4" x14ac:dyDescent="0.3">
      <c r="A277" s="13"/>
      <c r="B277" s="13"/>
      <c r="C277" s="13" t="s">
        <v>312</v>
      </c>
      <c r="D277" s="14" t="s">
        <v>313</v>
      </c>
      <c r="E277" s="2">
        <v>70</v>
      </c>
      <c r="F277" s="16"/>
      <c r="G277" s="15"/>
      <c r="H277" s="2"/>
      <c r="I277" s="2"/>
      <c r="J277" s="16">
        <v>2324.1999999999998</v>
      </c>
      <c r="K277" s="16"/>
    </row>
    <row r="278" spans="1:22" ht="14.4" x14ac:dyDescent="0.3">
      <c r="A278" s="13"/>
      <c r="B278" s="13"/>
      <c r="C278" s="13" t="s">
        <v>314</v>
      </c>
      <c r="D278" s="14" t="s">
        <v>313</v>
      </c>
      <c r="E278" s="2">
        <v>10</v>
      </c>
      <c r="F278" s="16"/>
      <c r="G278" s="15"/>
      <c r="H278" s="2"/>
      <c r="I278" s="2"/>
      <c r="J278" s="16">
        <v>332.03</v>
      </c>
      <c r="K278" s="16"/>
    </row>
    <row r="279" spans="1:22" ht="14.4" x14ac:dyDescent="0.3">
      <c r="A279" s="13"/>
      <c r="B279" s="13"/>
      <c r="C279" s="13" t="s">
        <v>319</v>
      </c>
      <c r="D279" s="14" t="s">
        <v>313</v>
      </c>
      <c r="E279" s="2">
        <v>108</v>
      </c>
      <c r="F279" s="16"/>
      <c r="G279" s="15"/>
      <c r="H279" s="2"/>
      <c r="I279" s="2"/>
      <c r="J279" s="16">
        <v>0.38</v>
      </c>
      <c r="K279" s="16"/>
    </row>
    <row r="280" spans="1:22" ht="14.4" x14ac:dyDescent="0.3">
      <c r="A280" s="13"/>
      <c r="B280" s="13"/>
      <c r="C280" s="13" t="s">
        <v>315</v>
      </c>
      <c r="D280" s="14" t="s">
        <v>316</v>
      </c>
      <c r="E280" s="2">
        <v>24.6</v>
      </c>
      <c r="F280" s="16"/>
      <c r="G280" s="15" t="s">
        <v>1</v>
      </c>
      <c r="H280" s="2">
        <v>1</v>
      </c>
      <c r="I280" s="2"/>
      <c r="J280" s="16"/>
      <c r="K280" s="16">
        <v>6.3960000000000008</v>
      </c>
    </row>
    <row r="281" spans="1:22" ht="13.8" x14ac:dyDescent="0.25">
      <c r="A281" s="20"/>
      <c r="B281" s="20"/>
      <c r="C281" s="20"/>
      <c r="D281" s="20"/>
      <c r="E281" s="20"/>
      <c r="F281" s="20"/>
      <c r="G281" s="20"/>
      <c r="H281" s="20"/>
      <c r="I281" s="58">
        <v>6043.9</v>
      </c>
      <c r="J281" s="58"/>
      <c r="K281" s="21">
        <v>23245.77</v>
      </c>
      <c r="P281" s="18">
        <v>6043.9</v>
      </c>
    </row>
    <row r="282" spans="1:22" ht="67.2" x14ac:dyDescent="0.3">
      <c r="A282" s="13">
        <v>25</v>
      </c>
      <c r="B282" s="13" t="s">
        <v>322</v>
      </c>
      <c r="C282" s="13" t="s">
        <v>68</v>
      </c>
      <c r="D282" s="14" t="s">
        <v>17</v>
      </c>
      <c r="E282" s="2">
        <v>0.313</v>
      </c>
      <c r="F282" s="16"/>
      <c r="G282" s="15"/>
      <c r="H282" s="2"/>
      <c r="I282" s="2"/>
      <c r="J282" s="16"/>
      <c r="K282" s="16"/>
      <c r="Q282">
        <v>1275.1099999999999</v>
      </c>
      <c r="R282">
        <v>1275.1099999999999</v>
      </c>
      <c r="S282">
        <v>182.16</v>
      </c>
      <c r="T282">
        <v>182.16</v>
      </c>
      <c r="U282">
        <v>0</v>
      </c>
      <c r="V282">
        <v>0</v>
      </c>
    </row>
    <row r="283" spans="1:22" x14ac:dyDescent="0.25">
      <c r="C283" s="17" t="s">
        <v>417</v>
      </c>
    </row>
    <row r="284" spans="1:22" ht="14.4" x14ac:dyDescent="0.3">
      <c r="A284" s="13"/>
      <c r="B284" s="13"/>
      <c r="C284" s="13" t="s">
        <v>310</v>
      </c>
      <c r="D284" s="14"/>
      <c r="E284" s="2"/>
      <c r="F284" s="16">
        <v>29098.7</v>
      </c>
      <c r="G284" s="15" t="s">
        <v>69</v>
      </c>
      <c r="H284" s="2">
        <v>1</v>
      </c>
      <c r="I284" s="2">
        <v>1</v>
      </c>
      <c r="J284" s="16">
        <v>1821.58</v>
      </c>
      <c r="K284" s="16"/>
    </row>
    <row r="285" spans="1:22" ht="14.4" x14ac:dyDescent="0.3">
      <c r="A285" s="13"/>
      <c r="B285" s="13"/>
      <c r="C285" s="13" t="s">
        <v>312</v>
      </c>
      <c r="D285" s="14" t="s">
        <v>313</v>
      </c>
      <c r="E285" s="2">
        <v>70</v>
      </c>
      <c r="F285" s="16"/>
      <c r="G285" s="15"/>
      <c r="H285" s="2"/>
      <c r="I285" s="2"/>
      <c r="J285" s="16">
        <v>1275.1099999999999</v>
      </c>
      <c r="K285" s="16"/>
    </row>
    <row r="286" spans="1:22" ht="14.4" x14ac:dyDescent="0.3">
      <c r="A286" s="13"/>
      <c r="B286" s="13"/>
      <c r="C286" s="13" t="s">
        <v>314</v>
      </c>
      <c r="D286" s="14" t="s">
        <v>313</v>
      </c>
      <c r="E286" s="2">
        <v>10</v>
      </c>
      <c r="F286" s="16"/>
      <c r="G286" s="15"/>
      <c r="H286" s="2"/>
      <c r="I286" s="2"/>
      <c r="J286" s="16">
        <v>182.16</v>
      </c>
      <c r="K286" s="16"/>
    </row>
    <row r="287" spans="1:22" ht="14.4" x14ac:dyDescent="0.3">
      <c r="A287" s="13"/>
      <c r="B287" s="13"/>
      <c r="C287" s="13" t="s">
        <v>315</v>
      </c>
      <c r="D287" s="14" t="s">
        <v>316</v>
      </c>
      <c r="E287" s="2">
        <v>47.72</v>
      </c>
      <c r="F287" s="16"/>
      <c r="G287" s="15" t="s">
        <v>69</v>
      </c>
      <c r="H287" s="2">
        <v>1</v>
      </c>
      <c r="I287" s="2"/>
      <c r="J287" s="16"/>
      <c r="K287" s="16">
        <v>2.9872720000000004</v>
      </c>
    </row>
    <row r="288" spans="1:22" ht="13.8" x14ac:dyDescent="0.25">
      <c r="A288" s="20"/>
      <c r="B288" s="20"/>
      <c r="C288" s="20"/>
      <c r="D288" s="20"/>
      <c r="E288" s="20"/>
      <c r="F288" s="20"/>
      <c r="G288" s="20"/>
      <c r="H288" s="20"/>
      <c r="I288" s="58">
        <v>3278.8499999999995</v>
      </c>
      <c r="J288" s="58"/>
      <c r="K288" s="21">
        <v>10475.56</v>
      </c>
      <c r="P288" s="18">
        <v>3278.8499999999995</v>
      </c>
    </row>
    <row r="289" spans="1:22" ht="96.6" x14ac:dyDescent="0.3">
      <c r="A289" s="13">
        <v>26</v>
      </c>
      <c r="B289" s="13" t="s">
        <v>323</v>
      </c>
      <c r="C289" s="13" t="s">
        <v>70</v>
      </c>
      <c r="D289" s="14" t="s">
        <v>4</v>
      </c>
      <c r="E289" s="2">
        <v>0.14599999999999999</v>
      </c>
      <c r="F289" s="16"/>
      <c r="G289" s="15"/>
      <c r="H289" s="2"/>
      <c r="I289" s="2"/>
      <c r="J289" s="16"/>
      <c r="K289" s="16"/>
      <c r="Q289">
        <v>1339.44</v>
      </c>
      <c r="R289">
        <v>1339.44</v>
      </c>
      <c r="S289">
        <v>191.35</v>
      </c>
      <c r="T289">
        <v>191.35</v>
      </c>
      <c r="U289">
        <v>204.7</v>
      </c>
      <c r="V289">
        <v>126.33</v>
      </c>
    </row>
    <row r="290" spans="1:22" x14ac:dyDescent="0.25">
      <c r="C290" s="17" t="s">
        <v>418</v>
      </c>
    </row>
    <row r="291" spans="1:22" ht="14.4" x14ac:dyDescent="0.3">
      <c r="A291" s="13"/>
      <c r="B291" s="13"/>
      <c r="C291" s="13" t="s">
        <v>310</v>
      </c>
      <c r="D291" s="14"/>
      <c r="E291" s="2"/>
      <c r="F291" s="16">
        <v>65530.63</v>
      </c>
      <c r="G291" s="15" t="s">
        <v>69</v>
      </c>
      <c r="H291" s="2">
        <v>1</v>
      </c>
      <c r="I291" s="2">
        <v>1</v>
      </c>
      <c r="J291" s="16">
        <v>1913.49</v>
      </c>
      <c r="K291" s="16"/>
    </row>
    <row r="292" spans="1:22" ht="14.4" x14ac:dyDescent="0.3">
      <c r="A292" s="13"/>
      <c r="B292" s="13"/>
      <c r="C292" s="13" t="s">
        <v>317</v>
      </c>
      <c r="D292" s="14"/>
      <c r="E292" s="2"/>
      <c r="F292" s="16">
        <v>4554.62</v>
      </c>
      <c r="G292" s="15" t="s">
        <v>69</v>
      </c>
      <c r="H292" s="2">
        <v>1</v>
      </c>
      <c r="I292" s="2">
        <v>1</v>
      </c>
      <c r="J292" s="16">
        <v>132.99</v>
      </c>
      <c r="K292" s="16"/>
    </row>
    <row r="293" spans="1:22" ht="14.4" x14ac:dyDescent="0.3">
      <c r="A293" s="13"/>
      <c r="B293" s="13"/>
      <c r="C293" s="13" t="s">
        <v>318</v>
      </c>
      <c r="D293" s="14"/>
      <c r="E293" s="2"/>
      <c r="F293" s="16">
        <v>4005.97</v>
      </c>
      <c r="G293" s="15" t="s">
        <v>69</v>
      </c>
      <c r="H293" s="2">
        <v>1</v>
      </c>
      <c r="I293" s="2">
        <v>1</v>
      </c>
      <c r="J293" s="22">
        <v>116.97</v>
      </c>
      <c r="K293" s="16"/>
    </row>
    <row r="294" spans="1:22" ht="14.4" x14ac:dyDescent="0.3">
      <c r="A294" s="13"/>
      <c r="B294" s="13"/>
      <c r="C294" s="13" t="s">
        <v>312</v>
      </c>
      <c r="D294" s="14" t="s">
        <v>313</v>
      </c>
      <c r="E294" s="2">
        <v>70</v>
      </c>
      <c r="F294" s="16"/>
      <c r="G294" s="15"/>
      <c r="H294" s="2"/>
      <c r="I294" s="2"/>
      <c r="J294" s="16">
        <v>1339.44</v>
      </c>
      <c r="K294" s="16"/>
    </row>
    <row r="295" spans="1:22" ht="14.4" x14ac:dyDescent="0.3">
      <c r="A295" s="13"/>
      <c r="B295" s="13"/>
      <c r="C295" s="13" t="s">
        <v>314</v>
      </c>
      <c r="D295" s="14" t="s">
        <v>313</v>
      </c>
      <c r="E295" s="2">
        <v>10</v>
      </c>
      <c r="F295" s="16"/>
      <c r="G295" s="15"/>
      <c r="H295" s="2"/>
      <c r="I295" s="2"/>
      <c r="J295" s="16">
        <v>191.35</v>
      </c>
      <c r="K295" s="16"/>
    </row>
    <row r="296" spans="1:22" ht="14.4" x14ac:dyDescent="0.3">
      <c r="A296" s="13"/>
      <c r="B296" s="13"/>
      <c r="C296" s="13" t="s">
        <v>319</v>
      </c>
      <c r="D296" s="14" t="s">
        <v>313</v>
      </c>
      <c r="E296" s="2">
        <v>108</v>
      </c>
      <c r="F296" s="16"/>
      <c r="G296" s="15"/>
      <c r="H296" s="2"/>
      <c r="I296" s="2"/>
      <c r="J296" s="16">
        <v>126.33</v>
      </c>
      <c r="K296" s="16"/>
    </row>
    <row r="297" spans="1:22" ht="14.4" x14ac:dyDescent="0.3">
      <c r="A297" s="13"/>
      <c r="B297" s="13"/>
      <c r="C297" s="13" t="s">
        <v>315</v>
      </c>
      <c r="D297" s="14" t="s">
        <v>316</v>
      </c>
      <c r="E297" s="2">
        <v>116.6</v>
      </c>
      <c r="F297" s="16"/>
      <c r="G297" s="15" t="s">
        <v>69</v>
      </c>
      <c r="H297" s="2">
        <v>1</v>
      </c>
      <c r="I297" s="2"/>
      <c r="J297" s="16"/>
      <c r="K297" s="16">
        <v>3.4047199999999997</v>
      </c>
    </row>
    <row r="298" spans="1:22" ht="13.8" x14ac:dyDescent="0.25">
      <c r="A298" s="20"/>
      <c r="B298" s="20"/>
      <c r="C298" s="20"/>
      <c r="D298" s="20"/>
      <c r="E298" s="20"/>
      <c r="F298" s="20"/>
      <c r="G298" s="20"/>
      <c r="H298" s="20"/>
      <c r="I298" s="58">
        <v>3703.6</v>
      </c>
      <c r="J298" s="58"/>
      <c r="K298" s="21">
        <v>25367.119999999999</v>
      </c>
      <c r="P298" s="18">
        <v>3703.6</v>
      </c>
    </row>
    <row r="299" spans="1:22" ht="27.6" x14ac:dyDescent="0.3">
      <c r="A299" s="13">
        <v>27</v>
      </c>
      <c r="B299" s="13" t="s">
        <v>71</v>
      </c>
      <c r="C299" s="13" t="s">
        <v>72</v>
      </c>
      <c r="D299" s="14" t="s">
        <v>4</v>
      </c>
      <c r="E299" s="2">
        <v>0.14599999999999999</v>
      </c>
      <c r="F299" s="16"/>
      <c r="G299" s="15"/>
      <c r="H299" s="2"/>
      <c r="I299" s="2"/>
      <c r="J299" s="16"/>
      <c r="K299" s="16"/>
      <c r="Q299">
        <v>2328.96</v>
      </c>
      <c r="R299">
        <v>2328.96</v>
      </c>
      <c r="S299">
        <v>332.71</v>
      </c>
      <c r="T299">
        <v>332.71</v>
      </c>
      <c r="U299">
        <v>0</v>
      </c>
      <c r="V299">
        <v>0</v>
      </c>
    </row>
    <row r="300" spans="1:22" x14ac:dyDescent="0.25">
      <c r="C300" s="17" t="s">
        <v>418</v>
      </c>
    </row>
    <row r="301" spans="1:22" ht="14.4" x14ac:dyDescent="0.3">
      <c r="A301" s="13"/>
      <c r="B301" s="13"/>
      <c r="C301" s="13" t="s">
        <v>310</v>
      </c>
      <c r="D301" s="14"/>
      <c r="E301" s="2"/>
      <c r="F301" s="16">
        <v>22788.29</v>
      </c>
      <c r="G301" s="15" t="s">
        <v>1</v>
      </c>
      <c r="H301" s="2">
        <v>1</v>
      </c>
      <c r="I301" s="2">
        <v>1</v>
      </c>
      <c r="J301" s="16">
        <v>3327.09</v>
      </c>
      <c r="K301" s="16"/>
    </row>
    <row r="302" spans="1:22" ht="14.4" x14ac:dyDescent="0.3">
      <c r="A302" s="13"/>
      <c r="B302" s="13"/>
      <c r="C302" s="13" t="s">
        <v>312</v>
      </c>
      <c r="D302" s="14" t="s">
        <v>313</v>
      </c>
      <c r="E302" s="2">
        <v>70</v>
      </c>
      <c r="F302" s="16"/>
      <c r="G302" s="15"/>
      <c r="H302" s="2"/>
      <c r="I302" s="2"/>
      <c r="J302" s="16">
        <v>2328.96</v>
      </c>
      <c r="K302" s="16"/>
    </row>
    <row r="303" spans="1:22" ht="14.4" x14ac:dyDescent="0.3">
      <c r="A303" s="13"/>
      <c r="B303" s="13"/>
      <c r="C303" s="13" t="s">
        <v>314</v>
      </c>
      <c r="D303" s="14" t="s">
        <v>313</v>
      </c>
      <c r="E303" s="2">
        <v>10</v>
      </c>
      <c r="F303" s="16"/>
      <c r="G303" s="15"/>
      <c r="H303" s="2"/>
      <c r="I303" s="2"/>
      <c r="J303" s="16">
        <v>332.71</v>
      </c>
      <c r="K303" s="16"/>
    </row>
    <row r="304" spans="1:22" ht="14.4" x14ac:dyDescent="0.3">
      <c r="A304" s="13"/>
      <c r="B304" s="13"/>
      <c r="C304" s="13" t="s">
        <v>315</v>
      </c>
      <c r="D304" s="14" t="s">
        <v>316</v>
      </c>
      <c r="E304" s="2">
        <v>49.1</v>
      </c>
      <c r="F304" s="16"/>
      <c r="G304" s="15" t="s">
        <v>1</v>
      </c>
      <c r="H304" s="2">
        <v>1</v>
      </c>
      <c r="I304" s="2"/>
      <c r="J304" s="16"/>
      <c r="K304" s="16">
        <v>7.1685999999999996</v>
      </c>
    </row>
    <row r="305" spans="1:22" ht="13.8" x14ac:dyDescent="0.25">
      <c r="A305" s="20"/>
      <c r="B305" s="20"/>
      <c r="C305" s="20"/>
      <c r="D305" s="20"/>
      <c r="E305" s="20"/>
      <c r="F305" s="20"/>
      <c r="G305" s="20"/>
      <c r="H305" s="20"/>
      <c r="I305" s="58">
        <v>5988.76</v>
      </c>
      <c r="J305" s="58"/>
      <c r="K305" s="21">
        <v>41018.9</v>
      </c>
      <c r="P305" s="18">
        <v>5988.76</v>
      </c>
    </row>
    <row r="306" spans="1:22" ht="27.6" x14ac:dyDescent="0.3">
      <c r="A306" s="13">
        <v>28</v>
      </c>
      <c r="B306" s="13" t="s">
        <v>31</v>
      </c>
      <c r="C306" s="13" t="s">
        <v>32</v>
      </c>
      <c r="D306" s="14" t="s">
        <v>4</v>
      </c>
      <c r="E306" s="2">
        <v>0.26</v>
      </c>
      <c r="F306" s="16"/>
      <c r="G306" s="15"/>
      <c r="H306" s="2"/>
      <c r="I306" s="2"/>
      <c r="J306" s="16"/>
      <c r="K306" s="16"/>
      <c r="Q306">
        <v>2320.04</v>
      </c>
      <c r="R306">
        <v>2320.04</v>
      </c>
      <c r="S306">
        <v>331.43</v>
      </c>
      <c r="T306">
        <v>331.43</v>
      </c>
      <c r="U306">
        <v>0.18</v>
      </c>
      <c r="V306">
        <v>0.11</v>
      </c>
    </row>
    <row r="307" spans="1:22" x14ac:dyDescent="0.25">
      <c r="C307" s="17" t="s">
        <v>416</v>
      </c>
    </row>
    <row r="308" spans="1:22" ht="14.4" x14ac:dyDescent="0.3">
      <c r="A308" s="13"/>
      <c r="B308" s="13"/>
      <c r="C308" s="13" t="s">
        <v>310</v>
      </c>
      <c r="D308" s="14"/>
      <c r="E308" s="2"/>
      <c r="F308" s="16">
        <v>12747.47</v>
      </c>
      <c r="G308" s="15" t="s">
        <v>1</v>
      </c>
      <c r="H308" s="2">
        <v>1</v>
      </c>
      <c r="I308" s="2">
        <v>1</v>
      </c>
      <c r="J308" s="16">
        <v>3314.34</v>
      </c>
      <c r="K308" s="16"/>
    </row>
    <row r="309" spans="1:22" ht="14.4" x14ac:dyDescent="0.3">
      <c r="A309" s="13"/>
      <c r="B309" s="13"/>
      <c r="C309" s="13" t="s">
        <v>317</v>
      </c>
      <c r="D309" s="14"/>
      <c r="E309" s="2"/>
      <c r="F309" s="16">
        <v>76.680000000000007</v>
      </c>
      <c r="G309" s="15" t="s">
        <v>1</v>
      </c>
      <c r="H309" s="2">
        <v>1</v>
      </c>
      <c r="I309" s="2">
        <v>1</v>
      </c>
      <c r="J309" s="16">
        <v>19.940000000000001</v>
      </c>
      <c r="K309" s="16"/>
    </row>
    <row r="310" spans="1:22" ht="14.4" x14ac:dyDescent="0.3">
      <c r="A310" s="13"/>
      <c r="B310" s="13"/>
      <c r="C310" s="13" t="s">
        <v>318</v>
      </c>
      <c r="D310" s="14"/>
      <c r="E310" s="2"/>
      <c r="F310" s="16">
        <v>0.39</v>
      </c>
      <c r="G310" s="15" t="s">
        <v>1</v>
      </c>
      <c r="H310" s="2">
        <v>1</v>
      </c>
      <c r="I310" s="2">
        <v>1</v>
      </c>
      <c r="J310" s="22">
        <v>0.1</v>
      </c>
      <c r="K310" s="16"/>
    </row>
    <row r="311" spans="1:22" ht="14.4" x14ac:dyDescent="0.3">
      <c r="A311" s="13"/>
      <c r="B311" s="13"/>
      <c r="C311" s="13" t="s">
        <v>311</v>
      </c>
      <c r="D311" s="14"/>
      <c r="E311" s="2"/>
      <c r="F311" s="16">
        <v>13127.07</v>
      </c>
      <c r="G311" s="15" t="s">
        <v>1</v>
      </c>
      <c r="H311" s="2">
        <v>1</v>
      </c>
      <c r="I311" s="2">
        <v>1</v>
      </c>
      <c r="J311" s="16">
        <v>3413.04</v>
      </c>
      <c r="K311" s="16"/>
    </row>
    <row r="312" spans="1:22" ht="14.4" x14ac:dyDescent="0.3">
      <c r="A312" s="13"/>
      <c r="B312" s="13"/>
      <c r="C312" s="13" t="s">
        <v>312</v>
      </c>
      <c r="D312" s="14" t="s">
        <v>313</v>
      </c>
      <c r="E312" s="2">
        <v>70</v>
      </c>
      <c r="F312" s="16"/>
      <c r="G312" s="15"/>
      <c r="H312" s="2"/>
      <c r="I312" s="2"/>
      <c r="J312" s="16">
        <v>2320.04</v>
      </c>
      <c r="K312" s="16"/>
    </row>
    <row r="313" spans="1:22" ht="14.4" x14ac:dyDescent="0.3">
      <c r="A313" s="13"/>
      <c r="B313" s="13"/>
      <c r="C313" s="13" t="s">
        <v>314</v>
      </c>
      <c r="D313" s="14" t="s">
        <v>313</v>
      </c>
      <c r="E313" s="2">
        <v>10</v>
      </c>
      <c r="F313" s="16"/>
      <c r="G313" s="15"/>
      <c r="H313" s="2"/>
      <c r="I313" s="2"/>
      <c r="J313" s="16">
        <v>331.43</v>
      </c>
      <c r="K313" s="16"/>
    </row>
    <row r="314" spans="1:22" ht="14.4" x14ac:dyDescent="0.3">
      <c r="A314" s="13"/>
      <c r="B314" s="13"/>
      <c r="C314" s="13" t="s">
        <v>319</v>
      </c>
      <c r="D314" s="14" t="s">
        <v>313</v>
      </c>
      <c r="E314" s="2">
        <v>108</v>
      </c>
      <c r="F314" s="16"/>
      <c r="G314" s="15"/>
      <c r="H314" s="2"/>
      <c r="I314" s="2"/>
      <c r="J314" s="16">
        <v>0.11</v>
      </c>
      <c r="K314" s="16"/>
    </row>
    <row r="315" spans="1:22" ht="14.4" x14ac:dyDescent="0.3">
      <c r="A315" s="13"/>
      <c r="B315" s="13"/>
      <c r="C315" s="13" t="s">
        <v>315</v>
      </c>
      <c r="D315" s="14" t="s">
        <v>316</v>
      </c>
      <c r="E315" s="2">
        <v>26.83</v>
      </c>
      <c r="F315" s="16"/>
      <c r="G315" s="15" t="s">
        <v>1</v>
      </c>
      <c r="H315" s="2">
        <v>1</v>
      </c>
      <c r="I315" s="2"/>
      <c r="J315" s="16"/>
      <c r="K315" s="16">
        <v>6.9757999999999996</v>
      </c>
    </row>
    <row r="316" spans="1:22" ht="13.8" x14ac:dyDescent="0.25">
      <c r="A316" s="20"/>
      <c r="B316" s="20"/>
      <c r="C316" s="20"/>
      <c r="D316" s="20"/>
      <c r="E316" s="20"/>
      <c r="F316" s="20"/>
      <c r="G316" s="20"/>
      <c r="H316" s="20"/>
      <c r="I316" s="58">
        <v>9398.9000000000015</v>
      </c>
      <c r="J316" s="58"/>
      <c r="K316" s="21">
        <v>36149.620000000003</v>
      </c>
      <c r="P316" s="18">
        <v>9398.9000000000015</v>
      </c>
    </row>
    <row r="317" spans="1:22" ht="41.4" x14ac:dyDescent="0.3">
      <c r="A317" s="13">
        <v>29</v>
      </c>
      <c r="B317" s="13" t="s">
        <v>33</v>
      </c>
      <c r="C317" s="13" t="s">
        <v>34</v>
      </c>
      <c r="D317" s="14" t="s">
        <v>4</v>
      </c>
      <c r="E317" s="2">
        <v>0.26</v>
      </c>
      <c r="F317" s="16"/>
      <c r="G317" s="15"/>
      <c r="H317" s="2"/>
      <c r="I317" s="2"/>
      <c r="J317" s="16"/>
      <c r="K317" s="16"/>
      <c r="Q317">
        <v>86.16</v>
      </c>
      <c r="R317">
        <v>86.16</v>
      </c>
      <c r="S317">
        <v>12.31</v>
      </c>
      <c r="T317">
        <v>12.31</v>
      </c>
      <c r="U317">
        <v>0.09</v>
      </c>
      <c r="V317">
        <v>0.05</v>
      </c>
    </row>
    <row r="318" spans="1:22" x14ac:dyDescent="0.25">
      <c r="C318" s="17" t="s">
        <v>416</v>
      </c>
    </row>
    <row r="319" spans="1:22" ht="14.4" x14ac:dyDescent="0.3">
      <c r="A319" s="13"/>
      <c r="B319" s="13"/>
      <c r="C319" s="13" t="s">
        <v>310</v>
      </c>
      <c r="D319" s="14"/>
      <c r="E319" s="2"/>
      <c r="F319" s="16">
        <v>236.7</v>
      </c>
      <c r="G319" s="15" t="s">
        <v>35</v>
      </c>
      <c r="H319" s="2">
        <v>1</v>
      </c>
      <c r="I319" s="2">
        <v>1</v>
      </c>
      <c r="J319" s="16">
        <v>123.08</v>
      </c>
      <c r="K319" s="16"/>
    </row>
    <row r="320" spans="1:22" ht="14.4" x14ac:dyDescent="0.3">
      <c r="A320" s="13"/>
      <c r="B320" s="13"/>
      <c r="C320" s="13" t="s">
        <v>317</v>
      </c>
      <c r="D320" s="14"/>
      <c r="E320" s="2"/>
      <c r="F320" s="16">
        <v>19.600000000000001</v>
      </c>
      <c r="G320" s="15" t="s">
        <v>35</v>
      </c>
      <c r="H320" s="2">
        <v>1</v>
      </c>
      <c r="I320" s="2">
        <v>1</v>
      </c>
      <c r="J320" s="16">
        <v>10.19</v>
      </c>
      <c r="K320" s="16"/>
    </row>
    <row r="321" spans="1:22" ht="14.4" x14ac:dyDescent="0.3">
      <c r="A321" s="13"/>
      <c r="B321" s="13"/>
      <c r="C321" s="13" t="s">
        <v>318</v>
      </c>
      <c r="D321" s="14"/>
      <c r="E321" s="2"/>
      <c r="F321" s="16">
        <v>0.1</v>
      </c>
      <c r="G321" s="15" t="s">
        <v>35</v>
      </c>
      <c r="H321" s="2">
        <v>1</v>
      </c>
      <c r="I321" s="2">
        <v>1</v>
      </c>
      <c r="J321" s="22">
        <v>0.05</v>
      </c>
      <c r="K321" s="16"/>
    </row>
    <row r="322" spans="1:22" ht="14.4" x14ac:dyDescent="0.3">
      <c r="A322" s="13"/>
      <c r="B322" s="13"/>
      <c r="C322" s="13" t="s">
        <v>311</v>
      </c>
      <c r="D322" s="14"/>
      <c r="E322" s="2"/>
      <c r="F322" s="16">
        <v>3233.81</v>
      </c>
      <c r="G322" s="15" t="s">
        <v>35</v>
      </c>
      <c r="H322" s="2">
        <v>1</v>
      </c>
      <c r="I322" s="2">
        <v>1</v>
      </c>
      <c r="J322" s="16">
        <v>1681.58</v>
      </c>
      <c r="K322" s="16"/>
    </row>
    <row r="323" spans="1:22" ht="14.4" x14ac:dyDescent="0.3">
      <c r="A323" s="13"/>
      <c r="B323" s="13"/>
      <c r="C323" s="13" t="s">
        <v>312</v>
      </c>
      <c r="D323" s="14" t="s">
        <v>313</v>
      </c>
      <c r="E323" s="2">
        <v>70</v>
      </c>
      <c r="F323" s="16"/>
      <c r="G323" s="15"/>
      <c r="H323" s="2"/>
      <c r="I323" s="2"/>
      <c r="J323" s="16">
        <v>86.16</v>
      </c>
      <c r="K323" s="16"/>
    </row>
    <row r="324" spans="1:22" ht="14.4" x14ac:dyDescent="0.3">
      <c r="A324" s="13"/>
      <c r="B324" s="13"/>
      <c r="C324" s="13" t="s">
        <v>314</v>
      </c>
      <c r="D324" s="14" t="s">
        <v>313</v>
      </c>
      <c r="E324" s="2">
        <v>10</v>
      </c>
      <c r="F324" s="16"/>
      <c r="G324" s="15"/>
      <c r="H324" s="2"/>
      <c r="I324" s="2"/>
      <c r="J324" s="16">
        <v>12.31</v>
      </c>
      <c r="K324" s="16"/>
    </row>
    <row r="325" spans="1:22" ht="14.4" x14ac:dyDescent="0.3">
      <c r="A325" s="13"/>
      <c r="B325" s="13"/>
      <c r="C325" s="13" t="s">
        <v>319</v>
      </c>
      <c r="D325" s="14" t="s">
        <v>313</v>
      </c>
      <c r="E325" s="2">
        <v>108</v>
      </c>
      <c r="F325" s="16"/>
      <c r="G325" s="15"/>
      <c r="H325" s="2"/>
      <c r="I325" s="2"/>
      <c r="J325" s="16">
        <v>0.05</v>
      </c>
      <c r="K325" s="16"/>
    </row>
    <row r="326" spans="1:22" ht="14.4" x14ac:dyDescent="0.3">
      <c r="A326" s="13"/>
      <c r="B326" s="13"/>
      <c r="C326" s="13" t="s">
        <v>315</v>
      </c>
      <c r="D326" s="14" t="s">
        <v>316</v>
      </c>
      <c r="E326" s="2">
        <v>0.51</v>
      </c>
      <c r="F326" s="16"/>
      <c r="G326" s="15" t="s">
        <v>35</v>
      </c>
      <c r="H326" s="2">
        <v>1</v>
      </c>
      <c r="I326" s="2"/>
      <c r="J326" s="16"/>
      <c r="K326" s="16">
        <v>0.26519999999999999</v>
      </c>
    </row>
    <row r="327" spans="1:22" ht="13.8" x14ac:dyDescent="0.25">
      <c r="A327" s="20"/>
      <c r="B327" s="20"/>
      <c r="C327" s="20"/>
      <c r="D327" s="20"/>
      <c r="E327" s="20"/>
      <c r="F327" s="20"/>
      <c r="G327" s="20"/>
      <c r="H327" s="20"/>
      <c r="I327" s="58">
        <v>1913.37</v>
      </c>
      <c r="J327" s="58"/>
      <c r="K327" s="21">
        <v>7359.12</v>
      </c>
      <c r="P327" s="18">
        <v>1913.37</v>
      </c>
    </row>
    <row r="328" spans="1:22" ht="55.2" x14ac:dyDescent="0.3">
      <c r="A328" s="13">
        <v>30</v>
      </c>
      <c r="B328" s="13" t="s">
        <v>73</v>
      </c>
      <c r="C328" s="13" t="s">
        <v>74</v>
      </c>
      <c r="D328" s="14" t="s">
        <v>4</v>
      </c>
      <c r="E328" s="2">
        <v>0.26</v>
      </c>
      <c r="F328" s="16"/>
      <c r="G328" s="15"/>
      <c r="H328" s="2"/>
      <c r="I328" s="2"/>
      <c r="J328" s="16"/>
      <c r="K328" s="16"/>
      <c r="Q328">
        <v>4712.6400000000003</v>
      </c>
      <c r="R328">
        <v>4712.6400000000003</v>
      </c>
      <c r="S328">
        <v>673.23</v>
      </c>
      <c r="T328">
        <v>673.23</v>
      </c>
      <c r="U328">
        <v>1.05</v>
      </c>
      <c r="V328">
        <v>0.65</v>
      </c>
    </row>
    <row r="329" spans="1:22" x14ac:dyDescent="0.25">
      <c r="C329" s="17" t="s">
        <v>416</v>
      </c>
    </row>
    <row r="330" spans="1:22" ht="14.4" x14ac:dyDescent="0.3">
      <c r="A330" s="13"/>
      <c r="B330" s="13"/>
      <c r="C330" s="13" t="s">
        <v>310</v>
      </c>
      <c r="D330" s="14"/>
      <c r="E330" s="2"/>
      <c r="F330" s="16">
        <v>25893.63</v>
      </c>
      <c r="G330" s="15" t="s">
        <v>1</v>
      </c>
      <c r="H330" s="2">
        <v>1</v>
      </c>
      <c r="I330" s="2">
        <v>1</v>
      </c>
      <c r="J330" s="16">
        <v>6732.34</v>
      </c>
      <c r="K330" s="16"/>
    </row>
    <row r="331" spans="1:22" ht="14.4" x14ac:dyDescent="0.3">
      <c r="A331" s="13"/>
      <c r="B331" s="13"/>
      <c r="C331" s="13" t="s">
        <v>317</v>
      </c>
      <c r="D331" s="14"/>
      <c r="E331" s="2"/>
      <c r="F331" s="16">
        <v>793.33</v>
      </c>
      <c r="G331" s="15" t="s">
        <v>1</v>
      </c>
      <c r="H331" s="2">
        <v>1</v>
      </c>
      <c r="I331" s="2">
        <v>1</v>
      </c>
      <c r="J331" s="16">
        <v>206.27</v>
      </c>
      <c r="K331" s="16"/>
    </row>
    <row r="332" spans="1:22" ht="14.4" x14ac:dyDescent="0.3">
      <c r="A332" s="13"/>
      <c r="B332" s="13"/>
      <c r="C332" s="13" t="s">
        <v>318</v>
      </c>
      <c r="D332" s="14"/>
      <c r="E332" s="2"/>
      <c r="F332" s="16">
        <v>2.3199999999999998</v>
      </c>
      <c r="G332" s="15" t="s">
        <v>1</v>
      </c>
      <c r="H332" s="2">
        <v>1</v>
      </c>
      <c r="I332" s="2">
        <v>1</v>
      </c>
      <c r="J332" s="22">
        <v>0.6</v>
      </c>
      <c r="K332" s="16"/>
    </row>
    <row r="333" spans="1:22" ht="14.4" x14ac:dyDescent="0.3">
      <c r="A333" s="13"/>
      <c r="B333" s="13"/>
      <c r="C333" s="13" t="s">
        <v>311</v>
      </c>
      <c r="D333" s="14"/>
      <c r="E333" s="2"/>
      <c r="F333" s="16">
        <v>173498.14</v>
      </c>
      <c r="G333" s="15" t="s">
        <v>1</v>
      </c>
      <c r="H333" s="2">
        <v>1</v>
      </c>
      <c r="I333" s="2">
        <v>1</v>
      </c>
      <c r="J333" s="16">
        <v>45109.52</v>
      </c>
      <c r="K333" s="16"/>
    </row>
    <row r="334" spans="1:22" ht="14.4" x14ac:dyDescent="0.3">
      <c r="A334" s="13"/>
      <c r="B334" s="13"/>
      <c r="C334" s="13" t="s">
        <v>312</v>
      </c>
      <c r="D334" s="14" t="s">
        <v>313</v>
      </c>
      <c r="E334" s="2">
        <v>70</v>
      </c>
      <c r="F334" s="16"/>
      <c r="G334" s="15"/>
      <c r="H334" s="2"/>
      <c r="I334" s="2"/>
      <c r="J334" s="16">
        <v>4712.6400000000003</v>
      </c>
      <c r="K334" s="16"/>
    </row>
    <row r="335" spans="1:22" ht="14.4" x14ac:dyDescent="0.3">
      <c r="A335" s="13"/>
      <c r="B335" s="13"/>
      <c r="C335" s="13" t="s">
        <v>314</v>
      </c>
      <c r="D335" s="14" t="s">
        <v>313</v>
      </c>
      <c r="E335" s="2">
        <v>10</v>
      </c>
      <c r="F335" s="16"/>
      <c r="G335" s="15"/>
      <c r="H335" s="2"/>
      <c r="I335" s="2"/>
      <c r="J335" s="16">
        <v>673.23</v>
      </c>
      <c r="K335" s="16"/>
    </row>
    <row r="336" spans="1:22" ht="14.4" x14ac:dyDescent="0.3">
      <c r="A336" s="13"/>
      <c r="B336" s="13"/>
      <c r="C336" s="13" t="s">
        <v>319</v>
      </c>
      <c r="D336" s="14" t="s">
        <v>313</v>
      </c>
      <c r="E336" s="2">
        <v>108</v>
      </c>
      <c r="F336" s="16"/>
      <c r="G336" s="15"/>
      <c r="H336" s="2"/>
      <c r="I336" s="2"/>
      <c r="J336" s="16">
        <v>0.65</v>
      </c>
      <c r="K336" s="16"/>
    </row>
    <row r="337" spans="1:22" ht="14.4" x14ac:dyDescent="0.3">
      <c r="A337" s="13"/>
      <c r="B337" s="13"/>
      <c r="C337" s="13" t="s">
        <v>315</v>
      </c>
      <c r="D337" s="14" t="s">
        <v>316</v>
      </c>
      <c r="E337" s="2">
        <v>52.67</v>
      </c>
      <c r="F337" s="16"/>
      <c r="G337" s="15" t="s">
        <v>1</v>
      </c>
      <c r="H337" s="2">
        <v>1</v>
      </c>
      <c r="I337" s="2"/>
      <c r="J337" s="16"/>
      <c r="K337" s="16">
        <v>13.6942</v>
      </c>
    </row>
    <row r="338" spans="1:22" ht="13.8" x14ac:dyDescent="0.25">
      <c r="A338" s="20"/>
      <c r="B338" s="20"/>
      <c r="C338" s="20"/>
      <c r="D338" s="20"/>
      <c r="E338" s="20"/>
      <c r="F338" s="20"/>
      <c r="G338" s="20"/>
      <c r="H338" s="20"/>
      <c r="I338" s="58">
        <v>57434.65</v>
      </c>
      <c r="J338" s="58"/>
      <c r="K338" s="21">
        <v>220902.5</v>
      </c>
      <c r="P338" s="18">
        <v>57434.65</v>
      </c>
    </row>
    <row r="339" spans="1:22" ht="41.4" x14ac:dyDescent="0.3">
      <c r="A339" s="13">
        <v>31</v>
      </c>
      <c r="B339" s="13" t="s">
        <v>75</v>
      </c>
      <c r="C339" s="13" t="s">
        <v>76</v>
      </c>
      <c r="D339" s="14" t="s">
        <v>4</v>
      </c>
      <c r="E339" s="2">
        <v>0.14599999999999999</v>
      </c>
      <c r="F339" s="16"/>
      <c r="G339" s="15"/>
      <c r="H339" s="2"/>
      <c r="I339" s="2"/>
      <c r="J339" s="16"/>
      <c r="K339" s="16"/>
      <c r="Q339">
        <v>8646.09</v>
      </c>
      <c r="R339">
        <v>8646.09</v>
      </c>
      <c r="S339">
        <v>1235.1600000000001</v>
      </c>
      <c r="T339">
        <v>1235.1600000000001</v>
      </c>
      <c r="U339">
        <v>648.45000000000005</v>
      </c>
      <c r="V339">
        <v>400.18</v>
      </c>
    </row>
    <row r="340" spans="1:22" x14ac:dyDescent="0.25">
      <c r="C340" s="17" t="s">
        <v>418</v>
      </c>
    </row>
    <row r="341" spans="1:22" ht="14.4" x14ac:dyDescent="0.3">
      <c r="A341" s="13"/>
      <c r="B341" s="13"/>
      <c r="C341" s="13" t="s">
        <v>310</v>
      </c>
      <c r="D341" s="14"/>
      <c r="E341" s="2"/>
      <c r="F341" s="16">
        <v>84599.7</v>
      </c>
      <c r="G341" s="15" t="s">
        <v>1</v>
      </c>
      <c r="H341" s="2">
        <v>1</v>
      </c>
      <c r="I341" s="2">
        <v>1</v>
      </c>
      <c r="J341" s="16">
        <v>12351.56</v>
      </c>
      <c r="K341" s="16"/>
    </row>
    <row r="342" spans="1:22" ht="14.4" x14ac:dyDescent="0.3">
      <c r="A342" s="13"/>
      <c r="B342" s="13"/>
      <c r="C342" s="13" t="s">
        <v>317</v>
      </c>
      <c r="D342" s="14"/>
      <c r="E342" s="2"/>
      <c r="F342" s="16">
        <v>4574.2700000000004</v>
      </c>
      <c r="G342" s="15" t="s">
        <v>1</v>
      </c>
      <c r="H342" s="2">
        <v>1</v>
      </c>
      <c r="I342" s="2">
        <v>1</v>
      </c>
      <c r="J342" s="16">
        <v>667.84</v>
      </c>
      <c r="K342" s="16"/>
    </row>
    <row r="343" spans="1:22" ht="14.4" x14ac:dyDescent="0.3">
      <c r="A343" s="13"/>
      <c r="B343" s="13"/>
      <c r="C343" s="13" t="s">
        <v>318</v>
      </c>
      <c r="D343" s="14"/>
      <c r="E343" s="2"/>
      <c r="F343" s="16">
        <v>2537.96</v>
      </c>
      <c r="G343" s="15" t="s">
        <v>1</v>
      </c>
      <c r="H343" s="2">
        <v>1</v>
      </c>
      <c r="I343" s="2">
        <v>1</v>
      </c>
      <c r="J343" s="22">
        <v>370.54</v>
      </c>
      <c r="K343" s="16"/>
    </row>
    <row r="344" spans="1:22" ht="14.4" x14ac:dyDescent="0.3">
      <c r="A344" s="13"/>
      <c r="B344" s="13"/>
      <c r="C344" s="13" t="s">
        <v>311</v>
      </c>
      <c r="D344" s="14"/>
      <c r="E344" s="2"/>
      <c r="F344" s="16">
        <v>98105.16</v>
      </c>
      <c r="G344" s="15" t="s">
        <v>1</v>
      </c>
      <c r="H344" s="2">
        <v>1</v>
      </c>
      <c r="I344" s="2">
        <v>1</v>
      </c>
      <c r="J344" s="16">
        <v>14323.35</v>
      </c>
      <c r="K344" s="16"/>
    </row>
    <row r="345" spans="1:22" ht="14.4" x14ac:dyDescent="0.3">
      <c r="A345" s="13"/>
      <c r="B345" s="13"/>
      <c r="C345" s="13" t="s">
        <v>312</v>
      </c>
      <c r="D345" s="14" t="s">
        <v>313</v>
      </c>
      <c r="E345" s="2">
        <v>70</v>
      </c>
      <c r="F345" s="16"/>
      <c r="G345" s="15"/>
      <c r="H345" s="2"/>
      <c r="I345" s="2"/>
      <c r="J345" s="16">
        <v>8646.09</v>
      </c>
      <c r="K345" s="16"/>
    </row>
    <row r="346" spans="1:22" ht="14.4" x14ac:dyDescent="0.3">
      <c r="A346" s="13"/>
      <c r="B346" s="13"/>
      <c r="C346" s="13" t="s">
        <v>314</v>
      </c>
      <c r="D346" s="14" t="s">
        <v>313</v>
      </c>
      <c r="E346" s="2">
        <v>10</v>
      </c>
      <c r="F346" s="16"/>
      <c r="G346" s="15"/>
      <c r="H346" s="2"/>
      <c r="I346" s="2"/>
      <c r="J346" s="16">
        <v>1235.1600000000001</v>
      </c>
      <c r="K346" s="16"/>
    </row>
    <row r="347" spans="1:22" ht="14.4" x14ac:dyDescent="0.3">
      <c r="A347" s="13"/>
      <c r="B347" s="13"/>
      <c r="C347" s="13" t="s">
        <v>319</v>
      </c>
      <c r="D347" s="14" t="s">
        <v>313</v>
      </c>
      <c r="E347" s="2">
        <v>108</v>
      </c>
      <c r="F347" s="16"/>
      <c r="G347" s="15"/>
      <c r="H347" s="2"/>
      <c r="I347" s="2"/>
      <c r="J347" s="16">
        <v>400.18</v>
      </c>
      <c r="K347" s="16"/>
    </row>
    <row r="348" spans="1:22" ht="14.4" x14ac:dyDescent="0.3">
      <c r="A348" s="13"/>
      <c r="B348" s="13"/>
      <c r="C348" s="13" t="s">
        <v>315</v>
      </c>
      <c r="D348" s="14" t="s">
        <v>316</v>
      </c>
      <c r="E348" s="2">
        <v>152.94999999999999</v>
      </c>
      <c r="F348" s="16"/>
      <c r="G348" s="15" t="s">
        <v>1</v>
      </c>
      <c r="H348" s="2">
        <v>1</v>
      </c>
      <c r="I348" s="2"/>
      <c r="J348" s="16"/>
      <c r="K348" s="16">
        <v>22.330699999999997</v>
      </c>
    </row>
    <row r="349" spans="1:22" ht="13.8" x14ac:dyDescent="0.25">
      <c r="A349" s="20"/>
      <c r="B349" s="20"/>
      <c r="C349" s="20"/>
      <c r="D349" s="20"/>
      <c r="E349" s="20"/>
      <c r="F349" s="20"/>
      <c r="G349" s="20"/>
      <c r="H349" s="20"/>
      <c r="I349" s="58">
        <v>37624.18</v>
      </c>
      <c r="J349" s="58"/>
      <c r="K349" s="21">
        <v>257699.86</v>
      </c>
      <c r="P349" s="18">
        <v>37624.18</v>
      </c>
    </row>
    <row r="350" spans="1:22" ht="96.6" x14ac:dyDescent="0.3">
      <c r="A350" s="13">
        <v>32</v>
      </c>
      <c r="B350" s="13" t="s">
        <v>51</v>
      </c>
      <c r="C350" s="13" t="s">
        <v>52</v>
      </c>
      <c r="D350" s="14" t="s">
        <v>4</v>
      </c>
      <c r="E350" s="2">
        <v>0.14599999999999999</v>
      </c>
      <c r="F350" s="16"/>
      <c r="G350" s="15"/>
      <c r="H350" s="2"/>
      <c r="I350" s="2"/>
      <c r="J350" s="16"/>
      <c r="K350" s="16"/>
      <c r="Q350">
        <v>6697.23</v>
      </c>
      <c r="R350">
        <v>6697.23</v>
      </c>
      <c r="S350">
        <v>956.75</v>
      </c>
      <c r="T350">
        <v>956.75</v>
      </c>
      <c r="U350">
        <v>1023.52</v>
      </c>
      <c r="V350">
        <v>631.66</v>
      </c>
    </row>
    <row r="351" spans="1:22" x14ac:dyDescent="0.25">
      <c r="C351" s="17" t="s">
        <v>418</v>
      </c>
    </row>
    <row r="352" spans="1:22" ht="14.4" x14ac:dyDescent="0.3">
      <c r="A352" s="13"/>
      <c r="B352" s="13"/>
      <c r="C352" s="13" t="s">
        <v>310</v>
      </c>
      <c r="D352" s="14"/>
      <c r="E352" s="2"/>
      <c r="F352" s="16">
        <v>65530.63</v>
      </c>
      <c r="G352" s="15" t="s">
        <v>1</v>
      </c>
      <c r="H352" s="2">
        <v>1</v>
      </c>
      <c r="I352" s="2">
        <v>1</v>
      </c>
      <c r="J352" s="16">
        <v>9567.4699999999993</v>
      </c>
      <c r="K352" s="16"/>
    </row>
    <row r="353" spans="1:22" ht="14.4" x14ac:dyDescent="0.3">
      <c r="A353" s="13"/>
      <c r="B353" s="13"/>
      <c r="C353" s="13" t="s">
        <v>317</v>
      </c>
      <c r="D353" s="14"/>
      <c r="E353" s="2"/>
      <c r="F353" s="16">
        <v>4554.62</v>
      </c>
      <c r="G353" s="15" t="s">
        <v>1</v>
      </c>
      <c r="H353" s="2">
        <v>1</v>
      </c>
      <c r="I353" s="2">
        <v>1</v>
      </c>
      <c r="J353" s="16">
        <v>664.97</v>
      </c>
      <c r="K353" s="16"/>
    </row>
    <row r="354" spans="1:22" ht="14.4" x14ac:dyDescent="0.3">
      <c r="A354" s="13"/>
      <c r="B354" s="13"/>
      <c r="C354" s="13" t="s">
        <v>318</v>
      </c>
      <c r="D354" s="14"/>
      <c r="E354" s="2"/>
      <c r="F354" s="16">
        <v>4005.97</v>
      </c>
      <c r="G354" s="15" t="s">
        <v>1</v>
      </c>
      <c r="H354" s="2">
        <v>1</v>
      </c>
      <c r="I354" s="2">
        <v>1</v>
      </c>
      <c r="J354" s="22">
        <v>584.87</v>
      </c>
      <c r="K354" s="16"/>
    </row>
    <row r="355" spans="1:22" ht="14.4" x14ac:dyDescent="0.3">
      <c r="A355" s="13"/>
      <c r="B355" s="13"/>
      <c r="C355" s="13" t="s">
        <v>311</v>
      </c>
      <c r="D355" s="14"/>
      <c r="E355" s="2"/>
      <c r="F355" s="16">
        <v>90310.69</v>
      </c>
      <c r="G355" s="15" t="s">
        <v>1</v>
      </c>
      <c r="H355" s="2">
        <v>1</v>
      </c>
      <c r="I355" s="2">
        <v>1</v>
      </c>
      <c r="J355" s="16">
        <v>13185.36</v>
      </c>
      <c r="K355" s="16"/>
    </row>
    <row r="356" spans="1:22" ht="14.4" x14ac:dyDescent="0.3">
      <c r="A356" s="13"/>
      <c r="B356" s="13"/>
      <c r="C356" s="13" t="s">
        <v>312</v>
      </c>
      <c r="D356" s="14" t="s">
        <v>313</v>
      </c>
      <c r="E356" s="2">
        <v>70</v>
      </c>
      <c r="F356" s="16"/>
      <c r="G356" s="15"/>
      <c r="H356" s="2"/>
      <c r="I356" s="2"/>
      <c r="J356" s="16">
        <v>6697.23</v>
      </c>
      <c r="K356" s="16"/>
    </row>
    <row r="357" spans="1:22" ht="14.4" x14ac:dyDescent="0.3">
      <c r="A357" s="13"/>
      <c r="B357" s="13"/>
      <c r="C357" s="13" t="s">
        <v>314</v>
      </c>
      <c r="D357" s="14" t="s">
        <v>313</v>
      </c>
      <c r="E357" s="2">
        <v>10</v>
      </c>
      <c r="F357" s="16"/>
      <c r="G357" s="15"/>
      <c r="H357" s="2"/>
      <c r="I357" s="2"/>
      <c r="J357" s="16">
        <v>956.75</v>
      </c>
      <c r="K357" s="16"/>
    </row>
    <row r="358" spans="1:22" ht="14.4" x14ac:dyDescent="0.3">
      <c r="A358" s="13"/>
      <c r="B358" s="13"/>
      <c r="C358" s="13" t="s">
        <v>319</v>
      </c>
      <c r="D358" s="14" t="s">
        <v>313</v>
      </c>
      <c r="E358" s="2">
        <v>108</v>
      </c>
      <c r="F358" s="16"/>
      <c r="G358" s="15"/>
      <c r="H358" s="2"/>
      <c r="I358" s="2"/>
      <c r="J358" s="16">
        <v>631.66</v>
      </c>
      <c r="K358" s="16"/>
    </row>
    <row r="359" spans="1:22" ht="14.4" x14ac:dyDescent="0.3">
      <c r="A359" s="13"/>
      <c r="B359" s="13"/>
      <c r="C359" s="13" t="s">
        <v>315</v>
      </c>
      <c r="D359" s="14" t="s">
        <v>316</v>
      </c>
      <c r="E359" s="2">
        <v>116.6</v>
      </c>
      <c r="F359" s="16"/>
      <c r="G359" s="15" t="s">
        <v>1</v>
      </c>
      <c r="H359" s="2">
        <v>1</v>
      </c>
      <c r="I359" s="2"/>
      <c r="J359" s="16"/>
      <c r="K359" s="16">
        <v>17.023599999999998</v>
      </c>
    </row>
    <row r="360" spans="1:22" ht="13.8" x14ac:dyDescent="0.25">
      <c r="A360" s="20"/>
      <c r="B360" s="20"/>
      <c r="C360" s="20"/>
      <c r="D360" s="20"/>
      <c r="E360" s="20"/>
      <c r="F360" s="20"/>
      <c r="G360" s="20"/>
      <c r="H360" s="20"/>
      <c r="I360" s="58">
        <v>31703.439999999999</v>
      </c>
      <c r="J360" s="58"/>
      <c r="K360" s="21">
        <v>217146.85</v>
      </c>
      <c r="P360" s="18">
        <v>31703.439999999999</v>
      </c>
    </row>
    <row r="361" spans="1:22" ht="27.6" x14ac:dyDescent="0.3">
      <c r="A361" s="13">
        <v>33</v>
      </c>
      <c r="B361" s="13" t="s">
        <v>67</v>
      </c>
      <c r="C361" s="13" t="s">
        <v>77</v>
      </c>
      <c r="D361" s="14" t="s">
        <v>17</v>
      </c>
      <c r="E361" s="2">
        <v>0.313</v>
      </c>
      <c r="F361" s="16"/>
      <c r="G361" s="15"/>
      <c r="H361" s="2"/>
      <c r="I361" s="2"/>
      <c r="J361" s="16"/>
      <c r="K361" s="16"/>
      <c r="Q361">
        <v>6375.52</v>
      </c>
      <c r="R361">
        <v>6375.52</v>
      </c>
      <c r="S361">
        <v>910.79</v>
      </c>
      <c r="T361">
        <v>910.79</v>
      </c>
      <c r="U361">
        <v>0</v>
      </c>
      <c r="V361">
        <v>0</v>
      </c>
    </row>
    <row r="362" spans="1:22" x14ac:dyDescent="0.25">
      <c r="C362" s="17" t="s">
        <v>417</v>
      </c>
    </row>
    <row r="363" spans="1:22" ht="14.4" x14ac:dyDescent="0.3">
      <c r="A363" s="13"/>
      <c r="B363" s="13"/>
      <c r="C363" s="13" t="s">
        <v>310</v>
      </c>
      <c r="D363" s="14"/>
      <c r="E363" s="2"/>
      <c r="F363" s="16">
        <v>29098.7</v>
      </c>
      <c r="G363" s="15" t="s">
        <v>1</v>
      </c>
      <c r="H363" s="2">
        <v>1</v>
      </c>
      <c r="I363" s="2">
        <v>1</v>
      </c>
      <c r="J363" s="16">
        <v>9107.89</v>
      </c>
      <c r="K363" s="16"/>
    </row>
    <row r="364" spans="1:22" ht="14.4" x14ac:dyDescent="0.3">
      <c r="A364" s="13"/>
      <c r="B364" s="13"/>
      <c r="C364" s="13" t="s">
        <v>311</v>
      </c>
      <c r="D364" s="14"/>
      <c r="E364" s="2"/>
      <c r="F364" s="16">
        <v>326436.81</v>
      </c>
      <c r="G364" s="15" t="s">
        <v>1</v>
      </c>
      <c r="H364" s="2">
        <v>1</v>
      </c>
      <c r="I364" s="2">
        <v>1</v>
      </c>
      <c r="J364" s="16">
        <v>102174.72</v>
      </c>
      <c r="K364" s="16"/>
    </row>
    <row r="365" spans="1:22" ht="27.6" x14ac:dyDescent="0.3">
      <c r="A365" s="13" t="s">
        <v>78</v>
      </c>
      <c r="B365" s="13" t="s">
        <v>79</v>
      </c>
      <c r="C365" s="13" t="s">
        <v>80</v>
      </c>
      <c r="D365" s="14" t="s">
        <v>30</v>
      </c>
      <c r="E365" s="2">
        <v>-0.65416999999999992</v>
      </c>
      <c r="F365" s="16">
        <v>155605.21</v>
      </c>
      <c r="G365" s="25" t="s">
        <v>1</v>
      </c>
      <c r="H365" s="2">
        <v>1</v>
      </c>
      <c r="I365" s="2">
        <v>1</v>
      </c>
      <c r="J365" s="16">
        <v>-101792.26</v>
      </c>
      <c r="K365" s="16"/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ht="14.4" x14ac:dyDescent="0.3">
      <c r="A366" s="13"/>
      <c r="B366" s="13"/>
      <c r="C366" s="13" t="s">
        <v>312</v>
      </c>
      <c r="D366" s="14" t="s">
        <v>313</v>
      </c>
      <c r="E366" s="2">
        <v>70</v>
      </c>
      <c r="F366" s="16"/>
      <c r="G366" s="15"/>
      <c r="H366" s="2"/>
      <c r="I366" s="2"/>
      <c r="J366" s="16">
        <v>6375.52</v>
      </c>
      <c r="K366" s="16"/>
    </row>
    <row r="367" spans="1:22" ht="14.4" x14ac:dyDescent="0.3">
      <c r="A367" s="13"/>
      <c r="B367" s="13"/>
      <c r="C367" s="13" t="s">
        <v>314</v>
      </c>
      <c r="D367" s="14" t="s">
        <v>313</v>
      </c>
      <c r="E367" s="2">
        <v>10</v>
      </c>
      <c r="F367" s="16"/>
      <c r="G367" s="15"/>
      <c r="H367" s="2"/>
      <c r="I367" s="2"/>
      <c r="J367" s="16">
        <v>910.79</v>
      </c>
      <c r="K367" s="16"/>
    </row>
    <row r="368" spans="1:22" ht="14.4" x14ac:dyDescent="0.3">
      <c r="A368" s="13"/>
      <c r="B368" s="13"/>
      <c r="C368" s="13" t="s">
        <v>315</v>
      </c>
      <c r="D368" s="14" t="s">
        <v>316</v>
      </c>
      <c r="E368" s="2">
        <v>47.72</v>
      </c>
      <c r="F368" s="16"/>
      <c r="G368" s="15" t="s">
        <v>1</v>
      </c>
      <c r="H368" s="2">
        <v>1</v>
      </c>
      <c r="I368" s="2"/>
      <c r="J368" s="16"/>
      <c r="K368" s="16">
        <v>14.936360000000001</v>
      </c>
    </row>
    <row r="369" spans="1:22" ht="13.8" x14ac:dyDescent="0.25">
      <c r="A369" s="20"/>
      <c r="B369" s="20"/>
      <c r="C369" s="20"/>
      <c r="D369" s="20"/>
      <c r="E369" s="20"/>
      <c r="F369" s="20"/>
      <c r="G369" s="20"/>
      <c r="H369" s="20"/>
      <c r="I369" s="58">
        <v>16776.660000000003</v>
      </c>
      <c r="J369" s="58"/>
      <c r="K369" s="21">
        <v>53599.55</v>
      </c>
      <c r="P369" s="18">
        <v>16776.660000000003</v>
      </c>
    </row>
    <row r="371" spans="1:22" ht="13.8" x14ac:dyDescent="0.25">
      <c r="A371" s="61" t="s">
        <v>419</v>
      </c>
      <c r="B371" s="61"/>
      <c r="C371" s="61"/>
      <c r="D371" s="61"/>
      <c r="E371" s="61"/>
      <c r="F371" s="61"/>
      <c r="G371" s="61"/>
      <c r="H371" s="61"/>
      <c r="I371" s="59">
        <v>184056.78</v>
      </c>
      <c r="J371" s="60"/>
      <c r="K371" s="23"/>
    </row>
    <row r="374" spans="1:22" ht="13.8" x14ac:dyDescent="0.25">
      <c r="A374" s="61" t="s">
        <v>420</v>
      </c>
      <c r="B374" s="61"/>
      <c r="C374" s="61"/>
      <c r="D374" s="61"/>
      <c r="E374" s="61"/>
      <c r="F374" s="61"/>
      <c r="G374" s="61"/>
      <c r="H374" s="61"/>
      <c r="I374" s="59">
        <v>3930656.790000001</v>
      </c>
      <c r="J374" s="60"/>
      <c r="K374" s="23"/>
    </row>
    <row r="377" spans="1:22" ht="16.8" x14ac:dyDescent="0.3">
      <c r="A377" s="57" t="s">
        <v>395</v>
      </c>
      <c r="B377" s="57"/>
      <c r="C377" s="57"/>
      <c r="D377" s="57"/>
      <c r="E377" s="57"/>
      <c r="F377" s="57"/>
      <c r="G377" s="57"/>
      <c r="H377" s="57"/>
      <c r="I377" s="57"/>
      <c r="J377" s="57"/>
      <c r="K377" s="57"/>
    </row>
    <row r="378" spans="1:22" ht="69" x14ac:dyDescent="0.3">
      <c r="A378" s="13">
        <v>34</v>
      </c>
      <c r="B378" s="13" t="s">
        <v>324</v>
      </c>
      <c r="C378" s="13" t="s">
        <v>82</v>
      </c>
      <c r="D378" s="14" t="s">
        <v>4</v>
      </c>
      <c r="E378" s="2">
        <v>0.96299999999999997</v>
      </c>
      <c r="F378" s="16"/>
      <c r="G378" s="15"/>
      <c r="H378" s="2"/>
      <c r="I378" s="2"/>
      <c r="J378" s="16"/>
      <c r="K378" s="16"/>
      <c r="Q378">
        <v>26990.29</v>
      </c>
      <c r="R378">
        <v>26990.29</v>
      </c>
      <c r="S378">
        <v>3855.76</v>
      </c>
      <c r="T378">
        <v>3855.76</v>
      </c>
      <c r="U378">
        <v>1187.04</v>
      </c>
      <c r="V378">
        <v>732.57</v>
      </c>
    </row>
    <row r="379" spans="1:22" x14ac:dyDescent="0.25">
      <c r="C379" s="17" t="s">
        <v>421</v>
      </c>
    </row>
    <row r="380" spans="1:22" ht="14.4" x14ac:dyDescent="0.3">
      <c r="A380" s="13"/>
      <c r="B380" s="13"/>
      <c r="C380" s="13" t="s">
        <v>310</v>
      </c>
      <c r="D380" s="14"/>
      <c r="E380" s="2"/>
      <c r="F380" s="16">
        <v>200195.01</v>
      </c>
      <c r="G380" s="15" t="s">
        <v>69</v>
      </c>
      <c r="H380" s="2">
        <v>1</v>
      </c>
      <c r="I380" s="2">
        <v>1</v>
      </c>
      <c r="J380" s="16">
        <v>38557.56</v>
      </c>
      <c r="K380" s="16"/>
    </row>
    <row r="381" spans="1:22" ht="14.4" x14ac:dyDescent="0.3">
      <c r="A381" s="13"/>
      <c r="B381" s="13"/>
      <c r="C381" s="13" t="s">
        <v>317</v>
      </c>
      <c r="D381" s="14"/>
      <c r="E381" s="2"/>
      <c r="F381" s="16">
        <v>4191.16</v>
      </c>
      <c r="G381" s="15" t="s">
        <v>69</v>
      </c>
      <c r="H381" s="2">
        <v>1</v>
      </c>
      <c r="I381" s="2">
        <v>1</v>
      </c>
      <c r="J381" s="16">
        <v>807.22</v>
      </c>
      <c r="K381" s="16"/>
    </row>
    <row r="382" spans="1:22" ht="14.4" x14ac:dyDescent="0.3">
      <c r="A382" s="13"/>
      <c r="B382" s="13"/>
      <c r="C382" s="13" t="s">
        <v>318</v>
      </c>
      <c r="D382" s="14"/>
      <c r="E382" s="2"/>
      <c r="F382" s="16">
        <v>3521.84</v>
      </c>
      <c r="G382" s="15" t="s">
        <v>69</v>
      </c>
      <c r="H382" s="2">
        <v>1</v>
      </c>
      <c r="I382" s="2">
        <v>1</v>
      </c>
      <c r="J382" s="22">
        <v>678.31</v>
      </c>
      <c r="K382" s="16"/>
    </row>
    <row r="383" spans="1:22" ht="14.4" x14ac:dyDescent="0.3">
      <c r="A383" s="13"/>
      <c r="B383" s="13"/>
      <c r="C383" s="13" t="s">
        <v>312</v>
      </c>
      <c r="D383" s="14" t="s">
        <v>313</v>
      </c>
      <c r="E383" s="2">
        <v>70</v>
      </c>
      <c r="F383" s="16"/>
      <c r="G383" s="15"/>
      <c r="H383" s="2"/>
      <c r="I383" s="2"/>
      <c r="J383" s="16">
        <v>26990.29</v>
      </c>
      <c r="K383" s="16"/>
    </row>
    <row r="384" spans="1:22" ht="14.4" x14ac:dyDescent="0.3">
      <c r="A384" s="13"/>
      <c r="B384" s="13"/>
      <c r="C384" s="13" t="s">
        <v>314</v>
      </c>
      <c r="D384" s="14" t="s">
        <v>313</v>
      </c>
      <c r="E384" s="2">
        <v>10</v>
      </c>
      <c r="F384" s="16"/>
      <c r="G384" s="15"/>
      <c r="H384" s="2"/>
      <c r="I384" s="2"/>
      <c r="J384" s="16">
        <v>3855.76</v>
      </c>
      <c r="K384" s="16"/>
    </row>
    <row r="385" spans="1:22" ht="14.4" x14ac:dyDescent="0.3">
      <c r="A385" s="13"/>
      <c r="B385" s="13"/>
      <c r="C385" s="13" t="s">
        <v>319</v>
      </c>
      <c r="D385" s="14" t="s">
        <v>313</v>
      </c>
      <c r="E385" s="2">
        <v>108</v>
      </c>
      <c r="F385" s="16"/>
      <c r="G385" s="15"/>
      <c r="H385" s="2"/>
      <c r="I385" s="2"/>
      <c r="J385" s="16">
        <v>732.57</v>
      </c>
      <c r="K385" s="16"/>
    </row>
    <row r="386" spans="1:22" ht="14.4" x14ac:dyDescent="0.3">
      <c r="A386" s="13"/>
      <c r="B386" s="13"/>
      <c r="C386" s="13" t="s">
        <v>315</v>
      </c>
      <c r="D386" s="14" t="s">
        <v>316</v>
      </c>
      <c r="E386" s="2">
        <v>303.88</v>
      </c>
      <c r="F386" s="16"/>
      <c r="G386" s="15" t="s">
        <v>69</v>
      </c>
      <c r="H386" s="2">
        <v>1</v>
      </c>
      <c r="I386" s="2"/>
      <c r="J386" s="16"/>
      <c r="K386" s="16">
        <v>58.527287999999999</v>
      </c>
    </row>
    <row r="387" spans="1:22" ht="13.8" x14ac:dyDescent="0.25">
      <c r="A387" s="20"/>
      <c r="B387" s="20"/>
      <c r="C387" s="20"/>
      <c r="D387" s="20"/>
      <c r="E387" s="20"/>
      <c r="F387" s="20"/>
      <c r="G387" s="20"/>
      <c r="H387" s="20"/>
      <c r="I387" s="58">
        <v>70943.400000000009</v>
      </c>
      <c r="J387" s="58"/>
      <c r="K387" s="21">
        <v>73669.16</v>
      </c>
      <c r="P387" s="18">
        <v>70943.400000000009</v>
      </c>
    </row>
    <row r="388" spans="1:22" ht="82.8" x14ac:dyDescent="0.3">
      <c r="A388" s="13">
        <v>35</v>
      </c>
      <c r="B388" s="13" t="s">
        <v>325</v>
      </c>
      <c r="C388" s="13" t="s">
        <v>84</v>
      </c>
      <c r="D388" s="14" t="s">
        <v>4</v>
      </c>
      <c r="E388" s="2">
        <v>0.308</v>
      </c>
      <c r="F388" s="16"/>
      <c r="G388" s="15"/>
      <c r="H388" s="2"/>
      <c r="I388" s="2"/>
      <c r="J388" s="16"/>
      <c r="K388" s="16"/>
      <c r="Q388">
        <v>6475.74</v>
      </c>
      <c r="R388">
        <v>6475.74</v>
      </c>
      <c r="S388">
        <v>925.11</v>
      </c>
      <c r="T388">
        <v>925.11</v>
      </c>
      <c r="U388">
        <v>0.67</v>
      </c>
      <c r="V388">
        <v>0.41</v>
      </c>
    </row>
    <row r="389" spans="1:22" x14ac:dyDescent="0.25">
      <c r="C389" s="17" t="s">
        <v>422</v>
      </c>
    </row>
    <row r="390" spans="1:22" ht="14.4" x14ac:dyDescent="0.3">
      <c r="A390" s="13"/>
      <c r="B390" s="13"/>
      <c r="C390" s="13" t="s">
        <v>310</v>
      </c>
      <c r="D390" s="14"/>
      <c r="E390" s="2"/>
      <c r="F390" s="16">
        <v>150179.53</v>
      </c>
      <c r="G390" s="15" t="s">
        <v>69</v>
      </c>
      <c r="H390" s="2">
        <v>1</v>
      </c>
      <c r="I390" s="2">
        <v>1</v>
      </c>
      <c r="J390" s="16">
        <v>9251.06</v>
      </c>
      <c r="K390" s="16"/>
    </row>
    <row r="391" spans="1:22" ht="14.4" x14ac:dyDescent="0.3">
      <c r="A391" s="13"/>
      <c r="B391" s="13"/>
      <c r="C391" s="13" t="s">
        <v>317</v>
      </c>
      <c r="D391" s="14"/>
      <c r="E391" s="2"/>
      <c r="F391" s="16">
        <v>446.14</v>
      </c>
      <c r="G391" s="15" t="s">
        <v>69</v>
      </c>
      <c r="H391" s="2">
        <v>1</v>
      </c>
      <c r="I391" s="2">
        <v>1</v>
      </c>
      <c r="J391" s="16">
        <v>27.48</v>
      </c>
      <c r="K391" s="16"/>
    </row>
    <row r="392" spans="1:22" ht="14.4" x14ac:dyDescent="0.3">
      <c r="A392" s="13"/>
      <c r="B392" s="13"/>
      <c r="C392" s="13" t="s">
        <v>318</v>
      </c>
      <c r="D392" s="14"/>
      <c r="E392" s="2"/>
      <c r="F392" s="16">
        <v>6.16</v>
      </c>
      <c r="G392" s="15" t="s">
        <v>69</v>
      </c>
      <c r="H392" s="2">
        <v>1</v>
      </c>
      <c r="I392" s="2">
        <v>1</v>
      </c>
      <c r="J392" s="22">
        <v>0.38</v>
      </c>
      <c r="K392" s="16"/>
    </row>
    <row r="393" spans="1:22" ht="14.4" x14ac:dyDescent="0.3">
      <c r="A393" s="13"/>
      <c r="B393" s="13"/>
      <c r="C393" s="13" t="s">
        <v>312</v>
      </c>
      <c r="D393" s="14" t="s">
        <v>313</v>
      </c>
      <c r="E393" s="2">
        <v>70</v>
      </c>
      <c r="F393" s="16"/>
      <c r="G393" s="15"/>
      <c r="H393" s="2"/>
      <c r="I393" s="2"/>
      <c r="J393" s="16">
        <v>6475.74</v>
      </c>
      <c r="K393" s="16"/>
    </row>
    <row r="394" spans="1:22" ht="14.4" x14ac:dyDescent="0.3">
      <c r="A394" s="13"/>
      <c r="B394" s="13"/>
      <c r="C394" s="13" t="s">
        <v>314</v>
      </c>
      <c r="D394" s="14" t="s">
        <v>313</v>
      </c>
      <c r="E394" s="2">
        <v>10</v>
      </c>
      <c r="F394" s="16"/>
      <c r="G394" s="15"/>
      <c r="H394" s="2"/>
      <c r="I394" s="2"/>
      <c r="J394" s="16">
        <v>925.11</v>
      </c>
      <c r="K394" s="16"/>
    </row>
    <row r="395" spans="1:22" ht="14.4" x14ac:dyDescent="0.3">
      <c r="A395" s="13"/>
      <c r="B395" s="13"/>
      <c r="C395" s="13" t="s">
        <v>319</v>
      </c>
      <c r="D395" s="14" t="s">
        <v>313</v>
      </c>
      <c r="E395" s="2">
        <v>108</v>
      </c>
      <c r="F395" s="16"/>
      <c r="G395" s="15"/>
      <c r="H395" s="2"/>
      <c r="I395" s="2"/>
      <c r="J395" s="16">
        <v>0.41</v>
      </c>
      <c r="K395" s="16"/>
    </row>
    <row r="396" spans="1:22" ht="14.4" x14ac:dyDescent="0.3">
      <c r="A396" s="13"/>
      <c r="B396" s="13"/>
      <c r="C396" s="13" t="s">
        <v>315</v>
      </c>
      <c r="D396" s="14" t="s">
        <v>316</v>
      </c>
      <c r="E396" s="2">
        <v>269.12</v>
      </c>
      <c r="F396" s="16"/>
      <c r="G396" s="15" t="s">
        <v>69</v>
      </c>
      <c r="H396" s="2">
        <v>1</v>
      </c>
      <c r="I396" s="2"/>
      <c r="J396" s="16"/>
      <c r="K396" s="16">
        <v>16.577792000000002</v>
      </c>
    </row>
    <row r="397" spans="1:22" ht="13.8" x14ac:dyDescent="0.25">
      <c r="A397" s="20"/>
      <c r="B397" s="20"/>
      <c r="C397" s="20"/>
      <c r="D397" s="20"/>
      <c r="E397" s="20"/>
      <c r="F397" s="20"/>
      <c r="G397" s="20"/>
      <c r="H397" s="20"/>
      <c r="I397" s="58">
        <v>16679.8</v>
      </c>
      <c r="J397" s="58"/>
      <c r="K397" s="21">
        <v>54155.19</v>
      </c>
      <c r="P397" s="18">
        <v>16679.8</v>
      </c>
    </row>
    <row r="398" spans="1:22" ht="27.6" x14ac:dyDescent="0.3">
      <c r="A398" s="13">
        <v>36</v>
      </c>
      <c r="B398" s="13" t="s">
        <v>85</v>
      </c>
      <c r="C398" s="13" t="s">
        <v>86</v>
      </c>
      <c r="D398" s="14" t="s">
        <v>27</v>
      </c>
      <c r="E398" s="2">
        <v>9.6299999999999997E-2</v>
      </c>
      <c r="F398" s="16"/>
      <c r="G398" s="15"/>
      <c r="H398" s="2"/>
      <c r="I398" s="2"/>
      <c r="J398" s="16"/>
      <c r="K398" s="16"/>
      <c r="Q398">
        <v>10633.25</v>
      </c>
      <c r="R398">
        <v>10633.25</v>
      </c>
      <c r="S398">
        <v>1519.04</v>
      </c>
      <c r="T398">
        <v>1519.04</v>
      </c>
      <c r="U398">
        <v>0</v>
      </c>
      <c r="V398">
        <v>0</v>
      </c>
    </row>
    <row r="399" spans="1:22" x14ac:dyDescent="0.25">
      <c r="C399" s="17" t="s">
        <v>423</v>
      </c>
    </row>
    <row r="400" spans="1:22" ht="14.4" x14ac:dyDescent="0.3">
      <c r="A400" s="13"/>
      <c r="B400" s="13"/>
      <c r="C400" s="13" t="s">
        <v>310</v>
      </c>
      <c r="D400" s="14"/>
      <c r="E400" s="2"/>
      <c r="F400" s="16">
        <v>157739.84</v>
      </c>
      <c r="G400" s="15" t="s">
        <v>1</v>
      </c>
      <c r="H400" s="2">
        <v>1</v>
      </c>
      <c r="I400" s="2">
        <v>1</v>
      </c>
      <c r="J400" s="16">
        <v>15190.35</v>
      </c>
      <c r="K400" s="16"/>
    </row>
    <row r="401" spans="1:22" ht="14.4" x14ac:dyDescent="0.3">
      <c r="A401" s="13"/>
      <c r="B401" s="13"/>
      <c r="C401" s="13" t="s">
        <v>312</v>
      </c>
      <c r="D401" s="14" t="s">
        <v>313</v>
      </c>
      <c r="E401" s="2">
        <v>70</v>
      </c>
      <c r="F401" s="16"/>
      <c r="G401" s="15"/>
      <c r="H401" s="2"/>
      <c r="I401" s="2"/>
      <c r="J401" s="16">
        <v>10633.25</v>
      </c>
      <c r="K401" s="16"/>
    </row>
    <row r="402" spans="1:22" ht="14.4" x14ac:dyDescent="0.3">
      <c r="A402" s="13"/>
      <c r="B402" s="13"/>
      <c r="C402" s="13" t="s">
        <v>314</v>
      </c>
      <c r="D402" s="14" t="s">
        <v>313</v>
      </c>
      <c r="E402" s="2">
        <v>10</v>
      </c>
      <c r="F402" s="16"/>
      <c r="G402" s="15"/>
      <c r="H402" s="2"/>
      <c r="I402" s="2"/>
      <c r="J402" s="16">
        <v>1519.04</v>
      </c>
      <c r="K402" s="16"/>
    </row>
    <row r="403" spans="1:22" ht="14.4" x14ac:dyDescent="0.3">
      <c r="A403" s="13"/>
      <c r="B403" s="13"/>
      <c r="C403" s="13" t="s">
        <v>315</v>
      </c>
      <c r="D403" s="14" t="s">
        <v>316</v>
      </c>
      <c r="E403" s="2">
        <v>332</v>
      </c>
      <c r="F403" s="16"/>
      <c r="G403" s="15" t="s">
        <v>1</v>
      </c>
      <c r="H403" s="2">
        <v>1</v>
      </c>
      <c r="I403" s="2"/>
      <c r="J403" s="16"/>
      <c r="K403" s="16">
        <v>31.971599999999999</v>
      </c>
    </row>
    <row r="404" spans="1:22" ht="13.8" x14ac:dyDescent="0.25">
      <c r="A404" s="20"/>
      <c r="B404" s="20"/>
      <c r="C404" s="20"/>
      <c r="D404" s="20"/>
      <c r="E404" s="20"/>
      <c r="F404" s="20"/>
      <c r="G404" s="20"/>
      <c r="H404" s="20"/>
      <c r="I404" s="58">
        <v>27342.639999999999</v>
      </c>
      <c r="J404" s="58"/>
      <c r="K404" s="21">
        <v>283931.88</v>
      </c>
      <c r="P404" s="18">
        <v>27342.639999999999</v>
      </c>
    </row>
    <row r="405" spans="1:22" ht="69" x14ac:dyDescent="0.3">
      <c r="A405" s="13">
        <v>37</v>
      </c>
      <c r="B405" s="13" t="s">
        <v>81</v>
      </c>
      <c r="C405" s="13" t="s">
        <v>87</v>
      </c>
      <c r="D405" s="14" t="s">
        <v>4</v>
      </c>
      <c r="E405" s="2">
        <v>0.96299999999999997</v>
      </c>
      <c r="F405" s="16"/>
      <c r="G405" s="15"/>
      <c r="H405" s="2"/>
      <c r="I405" s="2"/>
      <c r="J405" s="16"/>
      <c r="K405" s="16"/>
      <c r="Q405">
        <v>134951.45000000001</v>
      </c>
      <c r="R405">
        <v>134951.45000000001</v>
      </c>
      <c r="S405">
        <v>19278.78</v>
      </c>
      <c r="T405">
        <v>19278.78</v>
      </c>
      <c r="U405">
        <v>5935.18</v>
      </c>
      <c r="V405">
        <v>3662.85</v>
      </c>
    </row>
    <row r="406" spans="1:22" x14ac:dyDescent="0.25">
      <c r="C406" s="17" t="s">
        <v>421</v>
      </c>
    </row>
    <row r="407" spans="1:22" ht="14.4" x14ac:dyDescent="0.3">
      <c r="A407" s="13"/>
      <c r="B407" s="13"/>
      <c r="C407" s="13" t="s">
        <v>310</v>
      </c>
      <c r="D407" s="14"/>
      <c r="E407" s="2"/>
      <c r="F407" s="16">
        <v>200195.01</v>
      </c>
      <c r="G407" s="15" t="s">
        <v>1</v>
      </c>
      <c r="H407" s="2">
        <v>1</v>
      </c>
      <c r="I407" s="2">
        <v>1</v>
      </c>
      <c r="J407" s="16">
        <v>192787.79</v>
      </c>
      <c r="K407" s="16"/>
    </row>
    <row r="408" spans="1:22" ht="14.4" x14ac:dyDescent="0.3">
      <c r="A408" s="13"/>
      <c r="B408" s="13"/>
      <c r="C408" s="13" t="s">
        <v>317</v>
      </c>
      <c r="D408" s="14"/>
      <c r="E408" s="2"/>
      <c r="F408" s="16">
        <v>4191.16</v>
      </c>
      <c r="G408" s="15" t="s">
        <v>1</v>
      </c>
      <c r="H408" s="2">
        <v>1</v>
      </c>
      <c r="I408" s="2">
        <v>1</v>
      </c>
      <c r="J408" s="16">
        <v>4036.09</v>
      </c>
      <c r="K408" s="16"/>
    </row>
    <row r="409" spans="1:22" ht="14.4" x14ac:dyDescent="0.3">
      <c r="A409" s="13"/>
      <c r="B409" s="13"/>
      <c r="C409" s="13" t="s">
        <v>318</v>
      </c>
      <c r="D409" s="14"/>
      <c r="E409" s="2"/>
      <c r="F409" s="16">
        <v>3521.84</v>
      </c>
      <c r="G409" s="15" t="s">
        <v>1</v>
      </c>
      <c r="H409" s="2">
        <v>1</v>
      </c>
      <c r="I409" s="2">
        <v>1</v>
      </c>
      <c r="J409" s="22">
        <v>3391.53</v>
      </c>
      <c r="K409" s="16"/>
    </row>
    <row r="410" spans="1:22" ht="14.4" x14ac:dyDescent="0.3">
      <c r="A410" s="13"/>
      <c r="B410" s="13"/>
      <c r="C410" s="13" t="s">
        <v>311</v>
      </c>
      <c r="D410" s="14"/>
      <c r="E410" s="2"/>
      <c r="F410" s="16">
        <v>276226.49</v>
      </c>
      <c r="G410" s="15" t="s">
        <v>1</v>
      </c>
      <c r="H410" s="2">
        <v>1</v>
      </c>
      <c r="I410" s="2">
        <v>1</v>
      </c>
      <c r="J410" s="16">
        <v>266006.11</v>
      </c>
      <c r="K410" s="16"/>
    </row>
    <row r="411" spans="1:22" ht="55.2" x14ac:dyDescent="0.3">
      <c r="A411" s="13" t="s">
        <v>88</v>
      </c>
      <c r="B411" s="13" t="s">
        <v>89</v>
      </c>
      <c r="C411" s="13" t="s">
        <v>90</v>
      </c>
      <c r="D411" s="14" t="s">
        <v>91</v>
      </c>
      <c r="E411" s="2">
        <v>310</v>
      </c>
      <c r="F411" s="16">
        <v>247.86</v>
      </c>
      <c r="G411" s="25" t="s">
        <v>1</v>
      </c>
      <c r="H411" s="2">
        <v>1</v>
      </c>
      <c r="I411" s="2">
        <v>1</v>
      </c>
      <c r="J411" s="16">
        <v>76836.600000000006</v>
      </c>
      <c r="K411" s="16"/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ht="55.2" x14ac:dyDescent="0.3">
      <c r="A412" s="13" t="s">
        <v>92</v>
      </c>
      <c r="B412" s="13" t="s">
        <v>93</v>
      </c>
      <c r="C412" s="13" t="s">
        <v>94</v>
      </c>
      <c r="D412" s="14" t="s">
        <v>91</v>
      </c>
      <c r="E412" s="2">
        <v>30</v>
      </c>
      <c r="F412" s="16">
        <v>70.31</v>
      </c>
      <c r="G412" s="25" t="s">
        <v>1</v>
      </c>
      <c r="H412" s="2">
        <v>1</v>
      </c>
      <c r="I412" s="2">
        <v>1</v>
      </c>
      <c r="J412" s="16">
        <v>2109.3000000000002</v>
      </c>
      <c r="K412" s="16"/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ht="14.4" x14ac:dyDescent="0.3">
      <c r="A413" s="13"/>
      <c r="B413" s="13"/>
      <c r="C413" s="13" t="s">
        <v>312</v>
      </c>
      <c r="D413" s="14" t="s">
        <v>313</v>
      </c>
      <c r="E413" s="2">
        <v>70</v>
      </c>
      <c r="F413" s="16"/>
      <c r="G413" s="15"/>
      <c r="H413" s="2"/>
      <c r="I413" s="2"/>
      <c r="J413" s="16">
        <v>134951.45000000001</v>
      </c>
      <c r="K413" s="16"/>
    </row>
    <row r="414" spans="1:22" ht="14.4" x14ac:dyDescent="0.3">
      <c r="A414" s="13"/>
      <c r="B414" s="13"/>
      <c r="C414" s="13" t="s">
        <v>314</v>
      </c>
      <c r="D414" s="14" t="s">
        <v>313</v>
      </c>
      <c r="E414" s="2">
        <v>10</v>
      </c>
      <c r="F414" s="16"/>
      <c r="G414" s="15"/>
      <c r="H414" s="2"/>
      <c r="I414" s="2"/>
      <c r="J414" s="16">
        <v>19278.78</v>
      </c>
      <c r="K414" s="16"/>
    </row>
    <row r="415" spans="1:22" ht="14.4" x14ac:dyDescent="0.3">
      <c r="A415" s="13"/>
      <c r="B415" s="13"/>
      <c r="C415" s="13" t="s">
        <v>319</v>
      </c>
      <c r="D415" s="14" t="s">
        <v>313</v>
      </c>
      <c r="E415" s="2">
        <v>108</v>
      </c>
      <c r="F415" s="16"/>
      <c r="G415" s="15"/>
      <c r="H415" s="2"/>
      <c r="I415" s="2"/>
      <c r="J415" s="16">
        <v>3662.85</v>
      </c>
      <c r="K415" s="16"/>
    </row>
    <row r="416" spans="1:22" ht="14.4" x14ac:dyDescent="0.3">
      <c r="A416" s="13"/>
      <c r="B416" s="13"/>
      <c r="C416" s="13" t="s">
        <v>315</v>
      </c>
      <c r="D416" s="14" t="s">
        <v>316</v>
      </c>
      <c r="E416" s="2">
        <v>303.88</v>
      </c>
      <c r="F416" s="16"/>
      <c r="G416" s="15" t="s">
        <v>1</v>
      </c>
      <c r="H416" s="2">
        <v>1</v>
      </c>
      <c r="I416" s="2"/>
      <c r="J416" s="16"/>
      <c r="K416" s="16">
        <v>292.63643999999999</v>
      </c>
    </row>
    <row r="417" spans="1:22" ht="13.8" x14ac:dyDescent="0.25">
      <c r="A417" s="20"/>
      <c r="B417" s="20"/>
      <c r="C417" s="20"/>
      <c r="D417" s="20"/>
      <c r="E417" s="20"/>
      <c r="F417" s="20"/>
      <c r="G417" s="20"/>
      <c r="H417" s="20"/>
      <c r="I417" s="58">
        <v>699668.97</v>
      </c>
      <c r="J417" s="58"/>
      <c r="K417" s="21">
        <v>726551.37</v>
      </c>
      <c r="P417" s="18">
        <v>699668.97</v>
      </c>
    </row>
    <row r="418" spans="1:22" ht="69" x14ac:dyDescent="0.3">
      <c r="A418" s="13">
        <v>38</v>
      </c>
      <c r="B418" s="13" t="s">
        <v>95</v>
      </c>
      <c r="C418" s="13" t="s">
        <v>96</v>
      </c>
      <c r="D418" s="14" t="s">
        <v>4</v>
      </c>
      <c r="E418" s="2">
        <v>0.96299999999999997</v>
      </c>
      <c r="F418" s="16"/>
      <c r="G418" s="15"/>
      <c r="H418" s="2"/>
      <c r="I418" s="2"/>
      <c r="J418" s="16"/>
      <c r="K418" s="16"/>
      <c r="Q418">
        <v>36815.29</v>
      </c>
      <c r="R418">
        <v>36815.29</v>
      </c>
      <c r="S418">
        <v>5259.33</v>
      </c>
      <c r="T418">
        <v>5259.33</v>
      </c>
      <c r="U418">
        <v>323.35000000000002</v>
      </c>
      <c r="V418">
        <v>199.55</v>
      </c>
    </row>
    <row r="419" spans="1:22" x14ac:dyDescent="0.25">
      <c r="C419" s="17" t="s">
        <v>421</v>
      </c>
    </row>
    <row r="420" spans="1:22" ht="14.4" x14ac:dyDescent="0.3">
      <c r="A420" s="13"/>
      <c r="B420" s="13"/>
      <c r="C420" s="13" t="s">
        <v>310</v>
      </c>
      <c r="D420" s="14"/>
      <c r="E420" s="2"/>
      <c r="F420" s="16">
        <v>54613.99</v>
      </c>
      <c r="G420" s="15" t="s">
        <v>1</v>
      </c>
      <c r="H420" s="2">
        <v>1</v>
      </c>
      <c r="I420" s="2">
        <v>1</v>
      </c>
      <c r="J420" s="16">
        <v>52593.27</v>
      </c>
      <c r="K420" s="16"/>
    </row>
    <row r="421" spans="1:22" ht="14.4" x14ac:dyDescent="0.3">
      <c r="A421" s="13"/>
      <c r="B421" s="13"/>
      <c r="C421" s="13" t="s">
        <v>317</v>
      </c>
      <c r="D421" s="14"/>
      <c r="E421" s="2"/>
      <c r="F421" s="16">
        <v>512.16</v>
      </c>
      <c r="G421" s="15" t="s">
        <v>1</v>
      </c>
      <c r="H421" s="2">
        <v>1</v>
      </c>
      <c r="I421" s="2">
        <v>1</v>
      </c>
      <c r="J421" s="16">
        <v>493.21</v>
      </c>
      <c r="K421" s="16"/>
    </row>
    <row r="422" spans="1:22" ht="14.4" x14ac:dyDescent="0.3">
      <c r="A422" s="13"/>
      <c r="B422" s="13"/>
      <c r="C422" s="13" t="s">
        <v>318</v>
      </c>
      <c r="D422" s="14"/>
      <c r="E422" s="2"/>
      <c r="F422" s="16">
        <v>191.87</v>
      </c>
      <c r="G422" s="15" t="s">
        <v>1</v>
      </c>
      <c r="H422" s="2">
        <v>1</v>
      </c>
      <c r="I422" s="2">
        <v>1</v>
      </c>
      <c r="J422" s="22">
        <v>184.77</v>
      </c>
      <c r="K422" s="16"/>
    </row>
    <row r="423" spans="1:22" ht="14.4" x14ac:dyDescent="0.3">
      <c r="A423" s="13"/>
      <c r="B423" s="13"/>
      <c r="C423" s="13" t="s">
        <v>311</v>
      </c>
      <c r="D423" s="14"/>
      <c r="E423" s="2"/>
      <c r="F423" s="16">
        <v>123145.02</v>
      </c>
      <c r="G423" s="15" t="s">
        <v>1</v>
      </c>
      <c r="H423" s="2">
        <v>1</v>
      </c>
      <c r="I423" s="2">
        <v>1</v>
      </c>
      <c r="J423" s="16">
        <v>118588.65</v>
      </c>
      <c r="K423" s="16"/>
    </row>
    <row r="424" spans="1:22" ht="14.4" x14ac:dyDescent="0.3">
      <c r="A424" s="13"/>
      <c r="B424" s="13"/>
      <c r="C424" s="13" t="s">
        <v>312</v>
      </c>
      <c r="D424" s="14" t="s">
        <v>313</v>
      </c>
      <c r="E424" s="2">
        <v>70</v>
      </c>
      <c r="F424" s="16"/>
      <c r="G424" s="15"/>
      <c r="H424" s="2"/>
      <c r="I424" s="2"/>
      <c r="J424" s="16">
        <v>36815.29</v>
      </c>
      <c r="K424" s="16"/>
    </row>
    <row r="425" spans="1:22" ht="14.4" x14ac:dyDescent="0.3">
      <c r="A425" s="13"/>
      <c r="B425" s="13"/>
      <c r="C425" s="13" t="s">
        <v>314</v>
      </c>
      <c r="D425" s="14" t="s">
        <v>313</v>
      </c>
      <c r="E425" s="2">
        <v>10</v>
      </c>
      <c r="F425" s="16"/>
      <c r="G425" s="15"/>
      <c r="H425" s="2"/>
      <c r="I425" s="2"/>
      <c r="J425" s="16">
        <v>5259.33</v>
      </c>
      <c r="K425" s="16"/>
    </row>
    <row r="426" spans="1:22" ht="14.4" x14ac:dyDescent="0.3">
      <c r="A426" s="13"/>
      <c r="B426" s="13"/>
      <c r="C426" s="13" t="s">
        <v>319</v>
      </c>
      <c r="D426" s="14" t="s">
        <v>313</v>
      </c>
      <c r="E426" s="2">
        <v>108</v>
      </c>
      <c r="F426" s="16"/>
      <c r="G426" s="15"/>
      <c r="H426" s="2"/>
      <c r="I426" s="2"/>
      <c r="J426" s="16">
        <v>199.55</v>
      </c>
      <c r="K426" s="16"/>
    </row>
    <row r="427" spans="1:22" ht="14.4" x14ac:dyDescent="0.3">
      <c r="A427" s="13"/>
      <c r="B427" s="13"/>
      <c r="C427" s="13" t="s">
        <v>315</v>
      </c>
      <c r="D427" s="14" t="s">
        <v>316</v>
      </c>
      <c r="E427" s="2">
        <v>96.31</v>
      </c>
      <c r="F427" s="16"/>
      <c r="G427" s="15" t="s">
        <v>1</v>
      </c>
      <c r="H427" s="2">
        <v>1</v>
      </c>
      <c r="I427" s="2"/>
      <c r="J427" s="16"/>
      <c r="K427" s="16">
        <v>92.746529999999993</v>
      </c>
    </row>
    <row r="428" spans="1:22" ht="13.8" x14ac:dyDescent="0.25">
      <c r="A428" s="20"/>
      <c r="B428" s="20"/>
      <c r="C428" s="20"/>
      <c r="D428" s="20"/>
      <c r="E428" s="20"/>
      <c r="F428" s="20"/>
      <c r="G428" s="20"/>
      <c r="H428" s="20"/>
      <c r="I428" s="58">
        <v>213949.3</v>
      </c>
      <c r="J428" s="58"/>
      <c r="K428" s="21">
        <v>222169.57</v>
      </c>
      <c r="P428" s="18">
        <v>213949.3</v>
      </c>
    </row>
    <row r="429" spans="1:22" ht="82.8" x14ac:dyDescent="0.3">
      <c r="A429" s="13">
        <v>39</v>
      </c>
      <c r="B429" s="13" t="s">
        <v>83</v>
      </c>
      <c r="C429" s="13" t="s">
        <v>97</v>
      </c>
      <c r="D429" s="14" t="s">
        <v>4</v>
      </c>
      <c r="E429" s="2">
        <v>0.308</v>
      </c>
      <c r="F429" s="16"/>
      <c r="G429" s="15"/>
      <c r="H429" s="2"/>
      <c r="I429" s="2"/>
      <c r="J429" s="16"/>
      <c r="K429" s="16"/>
      <c r="Q429">
        <v>32378.71</v>
      </c>
      <c r="R429">
        <v>32378.71</v>
      </c>
      <c r="S429">
        <v>4625.53</v>
      </c>
      <c r="T429">
        <v>4625.53</v>
      </c>
      <c r="U429">
        <v>3.33</v>
      </c>
      <c r="V429">
        <v>2.0499999999999998</v>
      </c>
    </row>
    <row r="430" spans="1:22" x14ac:dyDescent="0.25">
      <c r="C430" s="17" t="s">
        <v>422</v>
      </c>
    </row>
    <row r="431" spans="1:22" ht="14.4" x14ac:dyDescent="0.3">
      <c r="A431" s="13"/>
      <c r="B431" s="13"/>
      <c r="C431" s="13" t="s">
        <v>310</v>
      </c>
      <c r="D431" s="14"/>
      <c r="E431" s="2"/>
      <c r="F431" s="16">
        <v>150179.53</v>
      </c>
      <c r="G431" s="15" t="s">
        <v>1</v>
      </c>
      <c r="H431" s="2">
        <v>1</v>
      </c>
      <c r="I431" s="2">
        <v>1</v>
      </c>
      <c r="J431" s="16">
        <v>46255.3</v>
      </c>
      <c r="K431" s="16"/>
    </row>
    <row r="432" spans="1:22" ht="14.4" x14ac:dyDescent="0.3">
      <c r="A432" s="13"/>
      <c r="B432" s="13"/>
      <c r="C432" s="13" t="s">
        <v>317</v>
      </c>
      <c r="D432" s="14"/>
      <c r="E432" s="2"/>
      <c r="F432" s="16">
        <v>446.14</v>
      </c>
      <c r="G432" s="15" t="s">
        <v>1</v>
      </c>
      <c r="H432" s="2">
        <v>1</v>
      </c>
      <c r="I432" s="2">
        <v>1</v>
      </c>
      <c r="J432" s="16">
        <v>137.41</v>
      </c>
      <c r="K432" s="16"/>
    </row>
    <row r="433" spans="1:22" ht="14.4" x14ac:dyDescent="0.3">
      <c r="A433" s="13"/>
      <c r="B433" s="13"/>
      <c r="C433" s="13" t="s">
        <v>318</v>
      </c>
      <c r="D433" s="14"/>
      <c r="E433" s="2"/>
      <c r="F433" s="16">
        <v>6.16</v>
      </c>
      <c r="G433" s="15" t="s">
        <v>1</v>
      </c>
      <c r="H433" s="2">
        <v>1</v>
      </c>
      <c r="I433" s="2">
        <v>1</v>
      </c>
      <c r="J433" s="22">
        <v>1.9</v>
      </c>
      <c r="K433" s="16"/>
    </row>
    <row r="434" spans="1:22" ht="14.4" x14ac:dyDescent="0.3">
      <c r="A434" s="13"/>
      <c r="B434" s="13"/>
      <c r="C434" s="13" t="s">
        <v>311</v>
      </c>
      <c r="D434" s="14"/>
      <c r="E434" s="2"/>
      <c r="F434" s="16">
        <v>126545.59</v>
      </c>
      <c r="G434" s="15" t="s">
        <v>1</v>
      </c>
      <c r="H434" s="2">
        <v>1</v>
      </c>
      <c r="I434" s="2">
        <v>1</v>
      </c>
      <c r="J434" s="16">
        <v>38976.04</v>
      </c>
      <c r="K434" s="16"/>
    </row>
    <row r="435" spans="1:22" ht="82.8" x14ac:dyDescent="0.3">
      <c r="A435" s="13" t="s">
        <v>98</v>
      </c>
      <c r="B435" s="13" t="s">
        <v>99</v>
      </c>
      <c r="C435" s="13" t="s">
        <v>100</v>
      </c>
      <c r="D435" s="14" t="s">
        <v>41</v>
      </c>
      <c r="E435" s="2">
        <v>30.8</v>
      </c>
      <c r="F435" s="16">
        <v>1091.17</v>
      </c>
      <c r="G435" s="25" t="s">
        <v>1</v>
      </c>
      <c r="H435" s="2">
        <v>1</v>
      </c>
      <c r="I435" s="2">
        <v>1</v>
      </c>
      <c r="J435" s="16">
        <v>33608.04</v>
      </c>
      <c r="K435" s="16"/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ht="14.4" x14ac:dyDescent="0.3">
      <c r="A436" s="13"/>
      <c r="B436" s="13"/>
      <c r="C436" s="13" t="s">
        <v>312</v>
      </c>
      <c r="D436" s="14" t="s">
        <v>313</v>
      </c>
      <c r="E436" s="2">
        <v>70</v>
      </c>
      <c r="F436" s="16"/>
      <c r="G436" s="15"/>
      <c r="H436" s="2"/>
      <c r="I436" s="2"/>
      <c r="J436" s="16">
        <v>32378.71</v>
      </c>
      <c r="K436" s="16"/>
    </row>
    <row r="437" spans="1:22" ht="14.4" x14ac:dyDescent="0.3">
      <c r="A437" s="13"/>
      <c r="B437" s="13"/>
      <c r="C437" s="13" t="s">
        <v>314</v>
      </c>
      <c r="D437" s="14" t="s">
        <v>313</v>
      </c>
      <c r="E437" s="2">
        <v>10</v>
      </c>
      <c r="F437" s="16"/>
      <c r="G437" s="15"/>
      <c r="H437" s="2"/>
      <c r="I437" s="2"/>
      <c r="J437" s="16">
        <v>4625.53</v>
      </c>
      <c r="K437" s="16"/>
    </row>
    <row r="438" spans="1:22" ht="14.4" x14ac:dyDescent="0.3">
      <c r="A438" s="13"/>
      <c r="B438" s="13"/>
      <c r="C438" s="13" t="s">
        <v>319</v>
      </c>
      <c r="D438" s="14" t="s">
        <v>313</v>
      </c>
      <c r="E438" s="2">
        <v>108</v>
      </c>
      <c r="F438" s="16"/>
      <c r="G438" s="15"/>
      <c r="H438" s="2"/>
      <c r="I438" s="2"/>
      <c r="J438" s="16">
        <v>2.0499999999999998</v>
      </c>
      <c r="K438" s="16"/>
    </row>
    <row r="439" spans="1:22" ht="14.4" x14ac:dyDescent="0.3">
      <c r="A439" s="13"/>
      <c r="B439" s="13"/>
      <c r="C439" s="13" t="s">
        <v>315</v>
      </c>
      <c r="D439" s="14" t="s">
        <v>316</v>
      </c>
      <c r="E439" s="2">
        <v>269.12</v>
      </c>
      <c r="F439" s="16"/>
      <c r="G439" s="15" t="s">
        <v>1</v>
      </c>
      <c r="H439" s="2">
        <v>1</v>
      </c>
      <c r="I439" s="2"/>
      <c r="J439" s="16"/>
      <c r="K439" s="16">
        <v>82.888959999999997</v>
      </c>
    </row>
    <row r="440" spans="1:22" ht="13.8" x14ac:dyDescent="0.25">
      <c r="A440" s="20"/>
      <c r="B440" s="20"/>
      <c r="C440" s="20"/>
      <c r="D440" s="20"/>
      <c r="E440" s="20"/>
      <c r="F440" s="20"/>
      <c r="G440" s="20"/>
      <c r="H440" s="20"/>
      <c r="I440" s="58">
        <v>155983.07999999999</v>
      </c>
      <c r="J440" s="58"/>
      <c r="K440" s="21">
        <v>506438.57</v>
      </c>
      <c r="P440" s="18">
        <v>155983.07999999999</v>
      </c>
    </row>
    <row r="441" spans="1:22" ht="27.6" x14ac:dyDescent="0.3">
      <c r="A441" s="13">
        <v>40</v>
      </c>
      <c r="B441" s="13" t="s">
        <v>71</v>
      </c>
      <c r="C441" s="13" t="s">
        <v>72</v>
      </c>
      <c r="D441" s="14" t="s">
        <v>4</v>
      </c>
      <c r="E441" s="2">
        <v>0.36</v>
      </c>
      <c r="F441" s="16"/>
      <c r="G441" s="15"/>
      <c r="H441" s="2"/>
      <c r="I441" s="2"/>
      <c r="J441" s="16"/>
      <c r="K441" s="16"/>
      <c r="Q441">
        <v>5742.65</v>
      </c>
      <c r="R441">
        <v>5742.65</v>
      </c>
      <c r="S441">
        <v>820.38</v>
      </c>
      <c r="T441">
        <v>820.38</v>
      </c>
      <c r="U441">
        <v>0</v>
      </c>
      <c r="V441">
        <v>0</v>
      </c>
    </row>
    <row r="442" spans="1:22" x14ac:dyDescent="0.25">
      <c r="C442" s="17" t="s">
        <v>424</v>
      </c>
    </row>
    <row r="443" spans="1:22" ht="14.4" x14ac:dyDescent="0.3">
      <c r="A443" s="13"/>
      <c r="B443" s="13"/>
      <c r="C443" s="13" t="s">
        <v>310</v>
      </c>
      <c r="D443" s="14"/>
      <c r="E443" s="2"/>
      <c r="F443" s="16">
        <v>22788.29</v>
      </c>
      <c r="G443" s="15" t="s">
        <v>1</v>
      </c>
      <c r="H443" s="2">
        <v>1</v>
      </c>
      <c r="I443" s="2">
        <v>1</v>
      </c>
      <c r="J443" s="16">
        <v>8203.7800000000007</v>
      </c>
      <c r="K443" s="16"/>
    </row>
    <row r="444" spans="1:22" ht="14.4" x14ac:dyDescent="0.3">
      <c r="A444" s="13"/>
      <c r="B444" s="13"/>
      <c r="C444" s="13" t="s">
        <v>312</v>
      </c>
      <c r="D444" s="14" t="s">
        <v>313</v>
      </c>
      <c r="E444" s="2">
        <v>70</v>
      </c>
      <c r="F444" s="16"/>
      <c r="G444" s="15"/>
      <c r="H444" s="2"/>
      <c r="I444" s="2"/>
      <c r="J444" s="16">
        <v>5742.65</v>
      </c>
      <c r="K444" s="16"/>
    </row>
    <row r="445" spans="1:22" ht="14.4" x14ac:dyDescent="0.3">
      <c r="A445" s="13"/>
      <c r="B445" s="13"/>
      <c r="C445" s="13" t="s">
        <v>314</v>
      </c>
      <c r="D445" s="14" t="s">
        <v>313</v>
      </c>
      <c r="E445" s="2">
        <v>10</v>
      </c>
      <c r="F445" s="16"/>
      <c r="G445" s="15"/>
      <c r="H445" s="2"/>
      <c r="I445" s="2"/>
      <c r="J445" s="16">
        <v>820.38</v>
      </c>
      <c r="K445" s="16"/>
    </row>
    <row r="446" spans="1:22" ht="14.4" x14ac:dyDescent="0.3">
      <c r="A446" s="13"/>
      <c r="B446" s="13"/>
      <c r="C446" s="13" t="s">
        <v>315</v>
      </c>
      <c r="D446" s="14" t="s">
        <v>316</v>
      </c>
      <c r="E446" s="2">
        <v>49.1</v>
      </c>
      <c r="F446" s="16"/>
      <c r="G446" s="15" t="s">
        <v>1</v>
      </c>
      <c r="H446" s="2">
        <v>1</v>
      </c>
      <c r="I446" s="2"/>
      <c r="J446" s="16"/>
      <c r="K446" s="16">
        <v>17.675999999999998</v>
      </c>
    </row>
    <row r="447" spans="1:22" ht="13.8" x14ac:dyDescent="0.25">
      <c r="A447" s="20"/>
      <c r="B447" s="20"/>
      <c r="C447" s="20"/>
      <c r="D447" s="20"/>
      <c r="E447" s="20"/>
      <c r="F447" s="20"/>
      <c r="G447" s="20"/>
      <c r="H447" s="20"/>
      <c r="I447" s="58">
        <v>14766.81</v>
      </c>
      <c r="J447" s="58"/>
      <c r="K447" s="21">
        <v>41018.92</v>
      </c>
      <c r="P447" s="18">
        <v>14766.81</v>
      </c>
    </row>
    <row r="448" spans="1:22" ht="55.2" x14ac:dyDescent="0.3">
      <c r="A448" s="13">
        <v>41</v>
      </c>
      <c r="B448" s="13" t="s">
        <v>101</v>
      </c>
      <c r="C448" s="13" t="s">
        <v>102</v>
      </c>
      <c r="D448" s="14" t="s">
        <v>4</v>
      </c>
      <c r="E448" s="2">
        <v>0.36</v>
      </c>
      <c r="F448" s="16"/>
      <c r="G448" s="15"/>
      <c r="H448" s="2"/>
      <c r="I448" s="2"/>
      <c r="J448" s="16"/>
      <c r="K448" s="16"/>
      <c r="Q448">
        <v>7020.02</v>
      </c>
      <c r="R448">
        <v>7020.02</v>
      </c>
      <c r="S448">
        <v>1002.86</v>
      </c>
      <c r="T448">
        <v>1002.86</v>
      </c>
      <c r="U448">
        <v>0</v>
      </c>
      <c r="V448">
        <v>0</v>
      </c>
    </row>
    <row r="449" spans="1:22" x14ac:dyDescent="0.25">
      <c r="C449" s="17" t="s">
        <v>424</v>
      </c>
    </row>
    <row r="450" spans="1:22" ht="14.4" x14ac:dyDescent="0.3">
      <c r="A450" s="13"/>
      <c r="B450" s="13"/>
      <c r="C450" s="13" t="s">
        <v>310</v>
      </c>
      <c r="D450" s="14"/>
      <c r="E450" s="2"/>
      <c r="F450" s="16">
        <v>27857.23</v>
      </c>
      <c r="G450" s="15" t="s">
        <v>1</v>
      </c>
      <c r="H450" s="2">
        <v>1</v>
      </c>
      <c r="I450" s="2">
        <v>1</v>
      </c>
      <c r="J450" s="16">
        <v>10028.6</v>
      </c>
      <c r="K450" s="16"/>
    </row>
    <row r="451" spans="1:22" ht="14.4" x14ac:dyDescent="0.3">
      <c r="A451" s="13"/>
      <c r="B451" s="13"/>
      <c r="C451" s="13" t="s">
        <v>311</v>
      </c>
      <c r="D451" s="14"/>
      <c r="E451" s="2"/>
      <c r="F451" s="16">
        <v>15201.71</v>
      </c>
      <c r="G451" s="15" t="s">
        <v>1</v>
      </c>
      <c r="H451" s="2">
        <v>1</v>
      </c>
      <c r="I451" s="2">
        <v>1</v>
      </c>
      <c r="J451" s="16">
        <v>5472.62</v>
      </c>
      <c r="K451" s="16"/>
    </row>
    <row r="452" spans="1:22" ht="14.4" x14ac:dyDescent="0.3">
      <c r="A452" s="13"/>
      <c r="B452" s="13"/>
      <c r="C452" s="13" t="s">
        <v>312</v>
      </c>
      <c r="D452" s="14" t="s">
        <v>313</v>
      </c>
      <c r="E452" s="2">
        <v>70</v>
      </c>
      <c r="F452" s="16"/>
      <c r="G452" s="15"/>
      <c r="H452" s="2"/>
      <c r="I452" s="2"/>
      <c r="J452" s="16">
        <v>7020.02</v>
      </c>
      <c r="K452" s="16"/>
    </row>
    <row r="453" spans="1:22" ht="14.4" x14ac:dyDescent="0.3">
      <c r="A453" s="13"/>
      <c r="B453" s="13"/>
      <c r="C453" s="13" t="s">
        <v>314</v>
      </c>
      <c r="D453" s="14" t="s">
        <v>313</v>
      </c>
      <c r="E453" s="2">
        <v>10</v>
      </c>
      <c r="F453" s="16"/>
      <c r="G453" s="15"/>
      <c r="H453" s="2"/>
      <c r="I453" s="2"/>
      <c r="J453" s="16">
        <v>1002.86</v>
      </c>
      <c r="K453" s="16"/>
    </row>
    <row r="454" spans="1:22" ht="14.4" x14ac:dyDescent="0.3">
      <c r="A454" s="13"/>
      <c r="B454" s="13"/>
      <c r="C454" s="13" t="s">
        <v>315</v>
      </c>
      <c r="D454" s="14" t="s">
        <v>316</v>
      </c>
      <c r="E454" s="2">
        <v>44.85</v>
      </c>
      <c r="F454" s="16"/>
      <c r="G454" s="15" t="s">
        <v>1</v>
      </c>
      <c r="H454" s="2">
        <v>1</v>
      </c>
      <c r="I454" s="2"/>
      <c r="J454" s="16"/>
      <c r="K454" s="16">
        <v>16.146000000000001</v>
      </c>
    </row>
    <row r="455" spans="1:22" ht="13.8" x14ac:dyDescent="0.25">
      <c r="A455" s="20"/>
      <c r="B455" s="20"/>
      <c r="C455" s="20"/>
      <c r="D455" s="20"/>
      <c r="E455" s="20"/>
      <c r="F455" s="20"/>
      <c r="G455" s="20"/>
      <c r="H455" s="20"/>
      <c r="I455" s="58">
        <v>23524.100000000002</v>
      </c>
      <c r="J455" s="58"/>
      <c r="K455" s="21">
        <v>65344.72</v>
      </c>
      <c r="P455" s="18">
        <v>23524.100000000002</v>
      </c>
    </row>
    <row r="456" spans="1:22" ht="27.6" x14ac:dyDescent="0.3">
      <c r="A456" s="13">
        <v>42</v>
      </c>
      <c r="B456" s="13" t="s">
        <v>103</v>
      </c>
      <c r="C456" s="13" t="s">
        <v>104</v>
      </c>
      <c r="D456" s="14" t="s">
        <v>24</v>
      </c>
      <c r="E456" s="2">
        <v>0.5</v>
      </c>
      <c r="F456" s="16"/>
      <c r="G456" s="15"/>
      <c r="H456" s="2"/>
      <c r="I456" s="2"/>
      <c r="J456" s="16"/>
      <c r="K456" s="16"/>
      <c r="Q456">
        <v>5953.2</v>
      </c>
      <c r="R456">
        <v>5953.2</v>
      </c>
      <c r="S456">
        <v>850.46</v>
      </c>
      <c r="T456">
        <v>850.46</v>
      </c>
      <c r="U456">
        <v>0</v>
      </c>
      <c r="V456">
        <v>0</v>
      </c>
    </row>
    <row r="457" spans="1:22" ht="14.4" x14ac:dyDescent="0.3">
      <c r="A457" s="13"/>
      <c r="B457" s="13"/>
      <c r="C457" s="13" t="s">
        <v>310</v>
      </c>
      <c r="D457" s="14"/>
      <c r="E457" s="2"/>
      <c r="F457" s="16">
        <v>17009.14</v>
      </c>
      <c r="G457" s="15" t="s">
        <v>1</v>
      </c>
      <c r="H457" s="2">
        <v>1</v>
      </c>
      <c r="I457" s="2">
        <v>1</v>
      </c>
      <c r="J457" s="16">
        <v>8504.57</v>
      </c>
      <c r="K457" s="16"/>
    </row>
    <row r="458" spans="1:22" ht="14.4" x14ac:dyDescent="0.3">
      <c r="A458" s="13"/>
      <c r="B458" s="13"/>
      <c r="C458" s="13" t="s">
        <v>311</v>
      </c>
      <c r="D458" s="14"/>
      <c r="E458" s="2"/>
      <c r="F458" s="16">
        <v>9211.02</v>
      </c>
      <c r="G458" s="15" t="s">
        <v>1</v>
      </c>
      <c r="H458" s="2">
        <v>1</v>
      </c>
      <c r="I458" s="2">
        <v>1</v>
      </c>
      <c r="J458" s="16">
        <v>4605.51</v>
      </c>
      <c r="K458" s="16"/>
    </row>
    <row r="459" spans="1:22" ht="14.4" x14ac:dyDescent="0.3">
      <c r="A459" s="13"/>
      <c r="B459" s="13"/>
      <c r="C459" s="13" t="s">
        <v>312</v>
      </c>
      <c r="D459" s="14" t="s">
        <v>313</v>
      </c>
      <c r="E459" s="2">
        <v>70</v>
      </c>
      <c r="F459" s="16"/>
      <c r="G459" s="15"/>
      <c r="H459" s="2"/>
      <c r="I459" s="2"/>
      <c r="J459" s="16">
        <v>5953.2</v>
      </c>
      <c r="K459" s="16"/>
    </row>
    <row r="460" spans="1:22" ht="14.4" x14ac:dyDescent="0.3">
      <c r="A460" s="13"/>
      <c r="B460" s="13"/>
      <c r="C460" s="13" t="s">
        <v>314</v>
      </c>
      <c r="D460" s="14" t="s">
        <v>313</v>
      </c>
      <c r="E460" s="2">
        <v>10</v>
      </c>
      <c r="F460" s="16"/>
      <c r="G460" s="15"/>
      <c r="H460" s="2"/>
      <c r="I460" s="2"/>
      <c r="J460" s="16">
        <v>850.46</v>
      </c>
      <c r="K460" s="16"/>
    </row>
    <row r="461" spans="1:22" ht="14.4" x14ac:dyDescent="0.3">
      <c r="A461" s="13"/>
      <c r="B461" s="13"/>
      <c r="C461" s="13" t="s">
        <v>315</v>
      </c>
      <c r="D461" s="14" t="s">
        <v>316</v>
      </c>
      <c r="E461" s="2">
        <v>35.39</v>
      </c>
      <c r="F461" s="16"/>
      <c r="G461" s="15" t="s">
        <v>1</v>
      </c>
      <c r="H461" s="2">
        <v>1</v>
      </c>
      <c r="I461" s="2"/>
      <c r="J461" s="16"/>
      <c r="K461" s="16">
        <v>17.695</v>
      </c>
    </row>
    <row r="462" spans="1:22" ht="13.8" x14ac:dyDescent="0.25">
      <c r="A462" s="20"/>
      <c r="B462" s="20"/>
      <c r="C462" s="20"/>
      <c r="D462" s="20"/>
      <c r="E462" s="20"/>
      <c r="F462" s="20"/>
      <c r="G462" s="20"/>
      <c r="H462" s="20"/>
      <c r="I462" s="58">
        <v>19913.739999999998</v>
      </c>
      <c r="J462" s="58"/>
      <c r="K462" s="21">
        <v>39827.480000000003</v>
      </c>
      <c r="P462" s="18">
        <v>19913.739999999998</v>
      </c>
    </row>
    <row r="463" spans="1:22" ht="27.6" x14ac:dyDescent="0.3">
      <c r="A463" s="13">
        <v>43</v>
      </c>
      <c r="B463" s="13" t="s">
        <v>11</v>
      </c>
      <c r="C463" s="13" t="s">
        <v>12</v>
      </c>
      <c r="D463" s="14" t="s">
        <v>4</v>
      </c>
      <c r="E463" s="2">
        <v>0.36</v>
      </c>
      <c r="F463" s="16"/>
      <c r="G463" s="15"/>
      <c r="H463" s="2"/>
      <c r="I463" s="2"/>
      <c r="J463" s="16"/>
      <c r="K463" s="16"/>
      <c r="Q463">
        <v>11197.86</v>
      </c>
      <c r="R463">
        <v>11197.86</v>
      </c>
      <c r="S463">
        <v>1599.69</v>
      </c>
      <c r="T463">
        <v>1599.69</v>
      </c>
      <c r="U463">
        <v>1398.53</v>
      </c>
      <c r="V463">
        <v>863.09</v>
      </c>
    </row>
    <row r="464" spans="1:22" x14ac:dyDescent="0.25">
      <c r="C464" s="17" t="s">
        <v>424</v>
      </c>
    </row>
    <row r="465" spans="1:22" ht="14.4" x14ac:dyDescent="0.3">
      <c r="A465" s="13"/>
      <c r="B465" s="13"/>
      <c r="C465" s="13" t="s">
        <v>310</v>
      </c>
      <c r="D465" s="14"/>
      <c r="E465" s="2"/>
      <c r="F465" s="16">
        <v>44435.94</v>
      </c>
      <c r="G465" s="15" t="s">
        <v>1</v>
      </c>
      <c r="H465" s="2">
        <v>1</v>
      </c>
      <c r="I465" s="2">
        <v>1</v>
      </c>
      <c r="J465" s="16">
        <v>15996.94</v>
      </c>
      <c r="K465" s="16"/>
    </row>
    <row r="466" spans="1:22" ht="14.4" x14ac:dyDescent="0.3">
      <c r="A466" s="13"/>
      <c r="B466" s="13"/>
      <c r="C466" s="13" t="s">
        <v>317</v>
      </c>
      <c r="D466" s="14"/>
      <c r="E466" s="2"/>
      <c r="F466" s="16">
        <v>2500.98</v>
      </c>
      <c r="G466" s="15" t="s">
        <v>1</v>
      </c>
      <c r="H466" s="2">
        <v>1</v>
      </c>
      <c r="I466" s="2">
        <v>1</v>
      </c>
      <c r="J466" s="16">
        <v>900.35</v>
      </c>
      <c r="K466" s="16"/>
    </row>
    <row r="467" spans="1:22" ht="14.4" x14ac:dyDescent="0.3">
      <c r="A467" s="13"/>
      <c r="B467" s="13"/>
      <c r="C467" s="13" t="s">
        <v>318</v>
      </c>
      <c r="D467" s="14"/>
      <c r="E467" s="2"/>
      <c r="F467" s="16">
        <v>2219.88</v>
      </c>
      <c r="G467" s="15" t="s">
        <v>1</v>
      </c>
      <c r="H467" s="2">
        <v>1</v>
      </c>
      <c r="I467" s="2">
        <v>1</v>
      </c>
      <c r="J467" s="22">
        <v>799.16</v>
      </c>
      <c r="K467" s="16"/>
    </row>
    <row r="468" spans="1:22" ht="14.4" x14ac:dyDescent="0.3">
      <c r="A468" s="13"/>
      <c r="B468" s="13"/>
      <c r="C468" s="13" t="s">
        <v>311</v>
      </c>
      <c r="D468" s="14"/>
      <c r="E468" s="2"/>
      <c r="F468" s="16">
        <v>15006.72</v>
      </c>
      <c r="G468" s="15" t="s">
        <v>1</v>
      </c>
      <c r="H468" s="2">
        <v>1</v>
      </c>
      <c r="I468" s="2">
        <v>1</v>
      </c>
      <c r="J468" s="16">
        <v>5402.42</v>
      </c>
      <c r="K468" s="16"/>
    </row>
    <row r="469" spans="1:22" ht="14.4" x14ac:dyDescent="0.3">
      <c r="A469" s="13"/>
      <c r="B469" s="13"/>
      <c r="C469" s="13" t="s">
        <v>312</v>
      </c>
      <c r="D469" s="14" t="s">
        <v>313</v>
      </c>
      <c r="E469" s="2">
        <v>70</v>
      </c>
      <c r="F469" s="16"/>
      <c r="G469" s="15"/>
      <c r="H469" s="2"/>
      <c r="I469" s="2"/>
      <c r="J469" s="16">
        <v>11197.86</v>
      </c>
      <c r="K469" s="16"/>
    </row>
    <row r="470" spans="1:22" ht="14.4" x14ac:dyDescent="0.3">
      <c r="A470" s="13"/>
      <c r="B470" s="13"/>
      <c r="C470" s="13" t="s">
        <v>314</v>
      </c>
      <c r="D470" s="14" t="s">
        <v>313</v>
      </c>
      <c r="E470" s="2">
        <v>10</v>
      </c>
      <c r="F470" s="16"/>
      <c r="G470" s="15"/>
      <c r="H470" s="2"/>
      <c r="I470" s="2"/>
      <c r="J470" s="16">
        <v>1599.69</v>
      </c>
      <c r="K470" s="16"/>
    </row>
    <row r="471" spans="1:22" ht="14.4" x14ac:dyDescent="0.3">
      <c r="A471" s="13"/>
      <c r="B471" s="13"/>
      <c r="C471" s="13" t="s">
        <v>319</v>
      </c>
      <c r="D471" s="14" t="s">
        <v>313</v>
      </c>
      <c r="E471" s="2">
        <v>108</v>
      </c>
      <c r="F471" s="16"/>
      <c r="G471" s="15"/>
      <c r="H471" s="2"/>
      <c r="I471" s="2"/>
      <c r="J471" s="16">
        <v>863.09</v>
      </c>
      <c r="K471" s="16"/>
    </row>
    <row r="472" spans="1:22" ht="14.4" x14ac:dyDescent="0.3">
      <c r="A472" s="13"/>
      <c r="B472" s="13"/>
      <c r="C472" s="13" t="s">
        <v>315</v>
      </c>
      <c r="D472" s="14" t="s">
        <v>316</v>
      </c>
      <c r="E472" s="2">
        <v>70.260000000000005</v>
      </c>
      <c r="F472" s="16"/>
      <c r="G472" s="15" t="s">
        <v>1</v>
      </c>
      <c r="H472" s="2">
        <v>1</v>
      </c>
      <c r="I472" s="2"/>
      <c r="J472" s="16"/>
      <c r="K472" s="16">
        <v>25.293600000000001</v>
      </c>
    </row>
    <row r="473" spans="1:22" ht="13.8" x14ac:dyDescent="0.25">
      <c r="A473" s="20"/>
      <c r="B473" s="20"/>
      <c r="C473" s="20"/>
      <c r="D473" s="20"/>
      <c r="E473" s="20"/>
      <c r="F473" s="20"/>
      <c r="G473" s="20"/>
      <c r="H473" s="20"/>
      <c r="I473" s="58">
        <v>35960.35</v>
      </c>
      <c r="J473" s="58"/>
      <c r="K473" s="21">
        <v>99889.86</v>
      </c>
      <c r="P473" s="18">
        <v>35960.35</v>
      </c>
    </row>
    <row r="474" spans="1:22" ht="41.4" x14ac:dyDescent="0.3">
      <c r="A474" s="13">
        <v>44</v>
      </c>
      <c r="B474" s="13" t="s">
        <v>105</v>
      </c>
      <c r="C474" s="13" t="s">
        <v>106</v>
      </c>
      <c r="D474" s="14" t="s">
        <v>4</v>
      </c>
      <c r="E474" s="2">
        <v>6.3E-2</v>
      </c>
      <c r="F474" s="16"/>
      <c r="G474" s="15"/>
      <c r="H474" s="2"/>
      <c r="I474" s="2"/>
      <c r="J474" s="16"/>
      <c r="K474" s="16"/>
      <c r="Q474">
        <v>3545.61</v>
      </c>
      <c r="R474">
        <v>3545.61</v>
      </c>
      <c r="S474">
        <v>506.52</v>
      </c>
      <c r="T474">
        <v>506.52</v>
      </c>
      <c r="U474">
        <v>0</v>
      </c>
      <c r="V474">
        <v>0</v>
      </c>
    </row>
    <row r="475" spans="1:22" x14ac:dyDescent="0.25">
      <c r="C475" s="17" t="s">
        <v>425</v>
      </c>
    </row>
    <row r="476" spans="1:22" ht="14.4" x14ac:dyDescent="0.3">
      <c r="A476" s="13"/>
      <c r="B476" s="13"/>
      <c r="C476" s="13" t="s">
        <v>310</v>
      </c>
      <c r="D476" s="14"/>
      <c r="E476" s="2"/>
      <c r="F476" s="16">
        <v>80399.39</v>
      </c>
      <c r="G476" s="15" t="s">
        <v>1</v>
      </c>
      <c r="H476" s="2">
        <v>1</v>
      </c>
      <c r="I476" s="2">
        <v>1</v>
      </c>
      <c r="J476" s="16">
        <v>5065.16</v>
      </c>
      <c r="K476" s="16"/>
    </row>
    <row r="477" spans="1:22" ht="14.4" x14ac:dyDescent="0.3">
      <c r="A477" s="13"/>
      <c r="B477" s="13"/>
      <c r="C477" s="13" t="s">
        <v>312</v>
      </c>
      <c r="D477" s="14" t="s">
        <v>313</v>
      </c>
      <c r="E477" s="2">
        <v>70</v>
      </c>
      <c r="F477" s="16"/>
      <c r="G477" s="15"/>
      <c r="H477" s="2"/>
      <c r="I477" s="2"/>
      <c r="J477" s="16">
        <v>3545.61</v>
      </c>
      <c r="K477" s="16"/>
    </row>
    <row r="478" spans="1:22" ht="14.4" x14ac:dyDescent="0.3">
      <c r="A478" s="13"/>
      <c r="B478" s="13"/>
      <c r="C478" s="13" t="s">
        <v>314</v>
      </c>
      <c r="D478" s="14" t="s">
        <v>313</v>
      </c>
      <c r="E478" s="2">
        <v>10</v>
      </c>
      <c r="F478" s="16"/>
      <c r="G478" s="15"/>
      <c r="H478" s="2"/>
      <c r="I478" s="2"/>
      <c r="J478" s="16">
        <v>506.52</v>
      </c>
      <c r="K478" s="16"/>
    </row>
    <row r="479" spans="1:22" ht="14.4" x14ac:dyDescent="0.3">
      <c r="A479" s="13"/>
      <c r="B479" s="13"/>
      <c r="C479" s="13" t="s">
        <v>315</v>
      </c>
      <c r="D479" s="14" t="s">
        <v>316</v>
      </c>
      <c r="E479" s="2">
        <v>165.39</v>
      </c>
      <c r="F479" s="16"/>
      <c r="G479" s="15" t="s">
        <v>1</v>
      </c>
      <c r="H479" s="2">
        <v>1</v>
      </c>
      <c r="I479" s="2"/>
      <c r="J479" s="16"/>
      <c r="K479" s="16">
        <v>10.419569999999998</v>
      </c>
    </row>
    <row r="480" spans="1:22" ht="13.8" x14ac:dyDescent="0.25">
      <c r="A480" s="20"/>
      <c r="B480" s="20"/>
      <c r="C480" s="20"/>
      <c r="D480" s="20"/>
      <c r="E480" s="20"/>
      <c r="F480" s="20"/>
      <c r="G480" s="20"/>
      <c r="H480" s="20"/>
      <c r="I480" s="58">
        <v>9117.2900000000009</v>
      </c>
      <c r="J480" s="58"/>
      <c r="K480" s="21">
        <v>144718.89000000001</v>
      </c>
      <c r="P480" s="18">
        <v>9117.2900000000009</v>
      </c>
    </row>
    <row r="481" spans="1:22" ht="82.8" x14ac:dyDescent="0.3">
      <c r="A481" s="13">
        <v>45</v>
      </c>
      <c r="B481" s="13" t="s">
        <v>107</v>
      </c>
      <c r="C481" s="13" t="s">
        <v>108</v>
      </c>
      <c r="D481" s="14" t="s">
        <v>4</v>
      </c>
      <c r="E481" s="2">
        <v>6.3E-2</v>
      </c>
      <c r="F481" s="16"/>
      <c r="G481" s="15"/>
      <c r="H481" s="2"/>
      <c r="I481" s="2"/>
      <c r="J481" s="16"/>
      <c r="K481" s="16"/>
      <c r="Q481">
        <v>4452.32</v>
      </c>
      <c r="R481">
        <v>4452.32</v>
      </c>
      <c r="S481">
        <v>636.04999999999995</v>
      </c>
      <c r="T481">
        <v>636.04999999999995</v>
      </c>
      <c r="U481">
        <v>0.47</v>
      </c>
      <c r="V481">
        <v>0.28999999999999998</v>
      </c>
    </row>
    <row r="482" spans="1:22" x14ac:dyDescent="0.25">
      <c r="C482" s="17" t="s">
        <v>425</v>
      </c>
    </row>
    <row r="483" spans="1:22" ht="14.4" x14ac:dyDescent="0.3">
      <c r="A483" s="13"/>
      <c r="B483" s="13"/>
      <c r="C483" s="13" t="s">
        <v>310</v>
      </c>
      <c r="D483" s="14"/>
      <c r="E483" s="2"/>
      <c r="F483" s="16">
        <v>100959.61</v>
      </c>
      <c r="G483" s="15" t="s">
        <v>1</v>
      </c>
      <c r="H483" s="2">
        <v>1</v>
      </c>
      <c r="I483" s="2">
        <v>1</v>
      </c>
      <c r="J483" s="16">
        <v>6360.46</v>
      </c>
      <c r="K483" s="16"/>
    </row>
    <row r="484" spans="1:22" ht="14.4" x14ac:dyDescent="0.3">
      <c r="A484" s="13"/>
      <c r="B484" s="13"/>
      <c r="C484" s="13" t="s">
        <v>317</v>
      </c>
      <c r="D484" s="14"/>
      <c r="E484" s="2"/>
      <c r="F484" s="16">
        <v>356.07</v>
      </c>
      <c r="G484" s="15" t="s">
        <v>1</v>
      </c>
      <c r="H484" s="2">
        <v>1</v>
      </c>
      <c r="I484" s="2">
        <v>1</v>
      </c>
      <c r="J484" s="16">
        <v>22.43</v>
      </c>
      <c r="K484" s="16"/>
    </row>
    <row r="485" spans="1:22" ht="14.4" x14ac:dyDescent="0.3">
      <c r="A485" s="13"/>
      <c r="B485" s="13"/>
      <c r="C485" s="13" t="s">
        <v>318</v>
      </c>
      <c r="D485" s="14"/>
      <c r="E485" s="2"/>
      <c r="F485" s="16">
        <v>4.3499999999999996</v>
      </c>
      <c r="G485" s="15" t="s">
        <v>1</v>
      </c>
      <c r="H485" s="2">
        <v>1</v>
      </c>
      <c r="I485" s="2">
        <v>1</v>
      </c>
      <c r="J485" s="22">
        <v>0.27</v>
      </c>
      <c r="K485" s="16"/>
    </row>
    <row r="486" spans="1:22" ht="14.4" x14ac:dyDescent="0.3">
      <c r="A486" s="13"/>
      <c r="B486" s="13"/>
      <c r="C486" s="13" t="s">
        <v>311</v>
      </c>
      <c r="D486" s="14"/>
      <c r="E486" s="2"/>
      <c r="F486" s="16">
        <v>1325517.01</v>
      </c>
      <c r="G486" s="15" t="s">
        <v>1</v>
      </c>
      <c r="H486" s="2">
        <v>1</v>
      </c>
      <c r="I486" s="2">
        <v>1</v>
      </c>
      <c r="J486" s="16">
        <v>83507.570000000007</v>
      </c>
      <c r="K486" s="16"/>
    </row>
    <row r="487" spans="1:22" ht="14.4" x14ac:dyDescent="0.3">
      <c r="A487" s="13"/>
      <c r="B487" s="13"/>
      <c r="C487" s="13" t="s">
        <v>312</v>
      </c>
      <c r="D487" s="14" t="s">
        <v>313</v>
      </c>
      <c r="E487" s="2">
        <v>70</v>
      </c>
      <c r="F487" s="16"/>
      <c r="G487" s="15"/>
      <c r="H487" s="2"/>
      <c r="I487" s="2"/>
      <c r="J487" s="16">
        <v>4452.32</v>
      </c>
      <c r="K487" s="16"/>
    </row>
    <row r="488" spans="1:22" ht="14.4" x14ac:dyDescent="0.3">
      <c r="A488" s="13"/>
      <c r="B488" s="13"/>
      <c r="C488" s="13" t="s">
        <v>314</v>
      </c>
      <c r="D488" s="14" t="s">
        <v>313</v>
      </c>
      <c r="E488" s="2">
        <v>10</v>
      </c>
      <c r="F488" s="16"/>
      <c r="G488" s="15"/>
      <c r="H488" s="2"/>
      <c r="I488" s="2"/>
      <c r="J488" s="16">
        <v>636.04999999999995</v>
      </c>
      <c r="K488" s="16"/>
    </row>
    <row r="489" spans="1:22" ht="14.4" x14ac:dyDescent="0.3">
      <c r="A489" s="13"/>
      <c r="B489" s="13"/>
      <c r="C489" s="13" t="s">
        <v>319</v>
      </c>
      <c r="D489" s="14" t="s">
        <v>313</v>
      </c>
      <c r="E489" s="2">
        <v>108</v>
      </c>
      <c r="F489" s="16"/>
      <c r="G489" s="15"/>
      <c r="H489" s="2"/>
      <c r="I489" s="2"/>
      <c r="J489" s="16">
        <v>0.28999999999999998</v>
      </c>
      <c r="K489" s="16"/>
    </row>
    <row r="490" spans="1:22" ht="14.4" x14ac:dyDescent="0.3">
      <c r="A490" s="13"/>
      <c r="B490" s="13"/>
      <c r="C490" s="13" t="s">
        <v>315</v>
      </c>
      <c r="D490" s="14" t="s">
        <v>316</v>
      </c>
      <c r="E490" s="2">
        <v>183.1</v>
      </c>
      <c r="F490" s="16"/>
      <c r="G490" s="15" t="s">
        <v>1</v>
      </c>
      <c r="H490" s="2">
        <v>1</v>
      </c>
      <c r="I490" s="2"/>
      <c r="J490" s="16"/>
      <c r="K490" s="16">
        <v>11.535299999999999</v>
      </c>
    </row>
    <row r="491" spans="1:22" ht="13.8" x14ac:dyDescent="0.25">
      <c r="A491" s="20"/>
      <c r="B491" s="20"/>
      <c r="C491" s="20"/>
      <c r="D491" s="20"/>
      <c r="E491" s="20"/>
      <c r="F491" s="20"/>
      <c r="G491" s="20"/>
      <c r="H491" s="20"/>
      <c r="I491" s="58">
        <v>94979.12</v>
      </c>
      <c r="J491" s="58"/>
      <c r="K491" s="21">
        <v>1507605.08</v>
      </c>
      <c r="P491" s="18">
        <v>94979.12</v>
      </c>
    </row>
    <row r="492" spans="1:22" ht="27.6" x14ac:dyDescent="0.3">
      <c r="A492" s="13">
        <v>46</v>
      </c>
      <c r="B492" s="13" t="s">
        <v>11</v>
      </c>
      <c r="C492" s="13" t="s">
        <v>12</v>
      </c>
      <c r="D492" s="14" t="s">
        <v>4</v>
      </c>
      <c r="E492" s="2">
        <v>8.2000000000000007E-3</v>
      </c>
      <c r="F492" s="16"/>
      <c r="G492" s="15"/>
      <c r="H492" s="2"/>
      <c r="I492" s="2"/>
      <c r="J492" s="16"/>
      <c r="K492" s="16"/>
      <c r="Q492">
        <v>255.06</v>
      </c>
      <c r="R492">
        <v>255.06</v>
      </c>
      <c r="S492">
        <v>36.44</v>
      </c>
      <c r="T492">
        <v>36.44</v>
      </c>
      <c r="U492">
        <v>31.85</v>
      </c>
      <c r="V492">
        <v>19.66</v>
      </c>
    </row>
    <row r="493" spans="1:22" x14ac:dyDescent="0.25">
      <c r="C493" s="17" t="s">
        <v>426</v>
      </c>
    </row>
    <row r="494" spans="1:22" ht="14.4" x14ac:dyDescent="0.3">
      <c r="A494" s="13"/>
      <c r="B494" s="13"/>
      <c r="C494" s="13" t="s">
        <v>310</v>
      </c>
      <c r="D494" s="14"/>
      <c r="E494" s="2"/>
      <c r="F494" s="16">
        <v>44435.94</v>
      </c>
      <c r="G494" s="15" t="s">
        <v>1</v>
      </c>
      <c r="H494" s="2">
        <v>1</v>
      </c>
      <c r="I494" s="2">
        <v>1</v>
      </c>
      <c r="J494" s="16">
        <v>364.37</v>
      </c>
      <c r="K494" s="16"/>
    </row>
    <row r="495" spans="1:22" ht="14.4" x14ac:dyDescent="0.3">
      <c r="A495" s="13"/>
      <c r="B495" s="13"/>
      <c r="C495" s="13" t="s">
        <v>317</v>
      </c>
      <c r="D495" s="14"/>
      <c r="E495" s="2"/>
      <c r="F495" s="16">
        <v>2500.98</v>
      </c>
      <c r="G495" s="15" t="s">
        <v>1</v>
      </c>
      <c r="H495" s="2">
        <v>1</v>
      </c>
      <c r="I495" s="2">
        <v>1</v>
      </c>
      <c r="J495" s="16">
        <v>20.51</v>
      </c>
      <c r="K495" s="16"/>
    </row>
    <row r="496" spans="1:22" ht="14.4" x14ac:dyDescent="0.3">
      <c r="A496" s="13"/>
      <c r="B496" s="13"/>
      <c r="C496" s="13" t="s">
        <v>318</v>
      </c>
      <c r="D496" s="14"/>
      <c r="E496" s="2"/>
      <c r="F496" s="16">
        <v>2219.88</v>
      </c>
      <c r="G496" s="15" t="s">
        <v>1</v>
      </c>
      <c r="H496" s="2">
        <v>1</v>
      </c>
      <c r="I496" s="2">
        <v>1</v>
      </c>
      <c r="J496" s="22">
        <v>18.2</v>
      </c>
      <c r="K496" s="16"/>
    </row>
    <row r="497" spans="1:22" ht="14.4" x14ac:dyDescent="0.3">
      <c r="A497" s="13"/>
      <c r="B497" s="13"/>
      <c r="C497" s="13" t="s">
        <v>311</v>
      </c>
      <c r="D497" s="14"/>
      <c r="E497" s="2"/>
      <c r="F497" s="16">
        <v>15006.72</v>
      </c>
      <c r="G497" s="15" t="s">
        <v>1</v>
      </c>
      <c r="H497" s="2">
        <v>1</v>
      </c>
      <c r="I497" s="2">
        <v>1</v>
      </c>
      <c r="J497" s="16">
        <v>123.06</v>
      </c>
      <c r="K497" s="16"/>
    </row>
    <row r="498" spans="1:22" ht="14.4" x14ac:dyDescent="0.3">
      <c r="A498" s="13"/>
      <c r="B498" s="13"/>
      <c r="C498" s="13" t="s">
        <v>312</v>
      </c>
      <c r="D498" s="14" t="s">
        <v>313</v>
      </c>
      <c r="E498" s="2">
        <v>70</v>
      </c>
      <c r="F498" s="16"/>
      <c r="G498" s="15"/>
      <c r="H498" s="2"/>
      <c r="I498" s="2"/>
      <c r="J498" s="16">
        <v>255.06</v>
      </c>
      <c r="K498" s="16"/>
    </row>
    <row r="499" spans="1:22" ht="14.4" x14ac:dyDescent="0.3">
      <c r="A499" s="13"/>
      <c r="B499" s="13"/>
      <c r="C499" s="13" t="s">
        <v>314</v>
      </c>
      <c r="D499" s="14" t="s">
        <v>313</v>
      </c>
      <c r="E499" s="2">
        <v>10</v>
      </c>
      <c r="F499" s="16"/>
      <c r="G499" s="15"/>
      <c r="H499" s="2"/>
      <c r="I499" s="2"/>
      <c r="J499" s="16">
        <v>36.44</v>
      </c>
      <c r="K499" s="16"/>
    </row>
    <row r="500" spans="1:22" ht="14.4" x14ac:dyDescent="0.3">
      <c r="A500" s="13"/>
      <c r="B500" s="13"/>
      <c r="C500" s="13" t="s">
        <v>319</v>
      </c>
      <c r="D500" s="14" t="s">
        <v>313</v>
      </c>
      <c r="E500" s="2">
        <v>108</v>
      </c>
      <c r="F500" s="16"/>
      <c r="G500" s="15"/>
      <c r="H500" s="2"/>
      <c r="I500" s="2"/>
      <c r="J500" s="16">
        <v>19.66</v>
      </c>
      <c r="K500" s="16"/>
    </row>
    <row r="501" spans="1:22" ht="14.4" x14ac:dyDescent="0.3">
      <c r="A501" s="13"/>
      <c r="B501" s="13"/>
      <c r="C501" s="13" t="s">
        <v>315</v>
      </c>
      <c r="D501" s="14" t="s">
        <v>316</v>
      </c>
      <c r="E501" s="2">
        <v>70.260000000000005</v>
      </c>
      <c r="F501" s="16"/>
      <c r="G501" s="15" t="s">
        <v>1</v>
      </c>
      <c r="H501" s="2">
        <v>1</v>
      </c>
      <c r="I501" s="2"/>
      <c r="J501" s="16"/>
      <c r="K501" s="16">
        <v>0.57613200000000009</v>
      </c>
    </row>
    <row r="502" spans="1:22" ht="13.8" x14ac:dyDescent="0.25">
      <c r="A502" s="20"/>
      <c r="B502" s="20"/>
      <c r="C502" s="20"/>
      <c r="D502" s="20"/>
      <c r="E502" s="20"/>
      <c r="F502" s="20"/>
      <c r="G502" s="20"/>
      <c r="H502" s="20"/>
      <c r="I502" s="58">
        <v>819.1</v>
      </c>
      <c r="J502" s="58"/>
      <c r="K502" s="21">
        <v>99890.240000000005</v>
      </c>
      <c r="P502" s="18">
        <v>819.1</v>
      </c>
    </row>
    <row r="503" spans="1:22" ht="41.4" x14ac:dyDescent="0.3">
      <c r="A503" s="13">
        <v>47</v>
      </c>
      <c r="B503" s="13" t="s">
        <v>13</v>
      </c>
      <c r="C503" s="13" t="s">
        <v>14</v>
      </c>
      <c r="D503" s="14" t="s">
        <v>4</v>
      </c>
      <c r="E503" s="2">
        <v>0.6</v>
      </c>
      <c r="F503" s="16"/>
      <c r="G503" s="15"/>
      <c r="H503" s="2"/>
      <c r="I503" s="2"/>
      <c r="J503" s="16"/>
      <c r="K503" s="16"/>
      <c r="Q503">
        <v>4212.8</v>
      </c>
      <c r="R503">
        <v>4212.8</v>
      </c>
      <c r="S503">
        <v>601.83000000000004</v>
      </c>
      <c r="T503">
        <v>601.83000000000004</v>
      </c>
      <c r="U503">
        <v>0.04</v>
      </c>
      <c r="V503">
        <v>0.02</v>
      </c>
    </row>
    <row r="504" spans="1:22" x14ac:dyDescent="0.25">
      <c r="C504" s="17" t="s">
        <v>427</v>
      </c>
    </row>
    <row r="505" spans="1:22" ht="14.4" x14ac:dyDescent="0.3">
      <c r="A505" s="13"/>
      <c r="B505" s="13"/>
      <c r="C505" s="13" t="s">
        <v>310</v>
      </c>
      <c r="D505" s="14"/>
      <c r="E505" s="2"/>
      <c r="F505" s="16">
        <v>10030.49</v>
      </c>
      <c r="G505" s="15" t="s">
        <v>1</v>
      </c>
      <c r="H505" s="2">
        <v>1</v>
      </c>
      <c r="I505" s="2">
        <v>1</v>
      </c>
      <c r="J505" s="16">
        <v>6018.29</v>
      </c>
      <c r="K505" s="16"/>
    </row>
    <row r="506" spans="1:22" ht="14.4" x14ac:dyDescent="0.3">
      <c r="A506" s="13"/>
      <c r="B506" s="13"/>
      <c r="C506" s="13" t="s">
        <v>317</v>
      </c>
      <c r="D506" s="14"/>
      <c r="E506" s="2"/>
      <c r="F506" s="16">
        <v>8.3000000000000007</v>
      </c>
      <c r="G506" s="15" t="s">
        <v>1</v>
      </c>
      <c r="H506" s="2">
        <v>1</v>
      </c>
      <c r="I506" s="2">
        <v>1</v>
      </c>
      <c r="J506" s="16">
        <v>4.9800000000000004</v>
      </c>
      <c r="K506" s="16"/>
    </row>
    <row r="507" spans="1:22" ht="14.4" x14ac:dyDescent="0.3">
      <c r="A507" s="13"/>
      <c r="B507" s="13"/>
      <c r="C507" s="13" t="s">
        <v>318</v>
      </c>
      <c r="D507" s="14"/>
      <c r="E507" s="2"/>
      <c r="F507" s="16">
        <v>0.03</v>
      </c>
      <c r="G507" s="15" t="s">
        <v>1</v>
      </c>
      <c r="H507" s="2">
        <v>1</v>
      </c>
      <c r="I507" s="2">
        <v>1</v>
      </c>
      <c r="J507" s="22">
        <v>0.02</v>
      </c>
      <c r="K507" s="16"/>
    </row>
    <row r="508" spans="1:22" ht="14.4" x14ac:dyDescent="0.3">
      <c r="A508" s="13"/>
      <c r="B508" s="13"/>
      <c r="C508" s="13" t="s">
        <v>311</v>
      </c>
      <c r="D508" s="14"/>
      <c r="E508" s="2"/>
      <c r="F508" s="16">
        <v>16447.689999999999</v>
      </c>
      <c r="G508" s="15" t="s">
        <v>1</v>
      </c>
      <c r="H508" s="2">
        <v>1</v>
      </c>
      <c r="I508" s="2">
        <v>1</v>
      </c>
      <c r="J508" s="16">
        <v>9868.61</v>
      </c>
      <c r="K508" s="16"/>
    </row>
    <row r="509" spans="1:22" ht="14.4" x14ac:dyDescent="0.3">
      <c r="A509" s="13"/>
      <c r="B509" s="13"/>
      <c r="C509" s="13" t="s">
        <v>312</v>
      </c>
      <c r="D509" s="14" t="s">
        <v>313</v>
      </c>
      <c r="E509" s="2">
        <v>70</v>
      </c>
      <c r="F509" s="16"/>
      <c r="G509" s="15"/>
      <c r="H509" s="2"/>
      <c r="I509" s="2"/>
      <c r="J509" s="16">
        <v>4212.8</v>
      </c>
      <c r="K509" s="16"/>
    </row>
    <row r="510" spans="1:22" ht="14.4" x14ac:dyDescent="0.3">
      <c r="A510" s="13"/>
      <c r="B510" s="13"/>
      <c r="C510" s="13" t="s">
        <v>314</v>
      </c>
      <c r="D510" s="14" t="s">
        <v>313</v>
      </c>
      <c r="E510" s="2">
        <v>10</v>
      </c>
      <c r="F510" s="16"/>
      <c r="G510" s="15"/>
      <c r="H510" s="2"/>
      <c r="I510" s="2"/>
      <c r="J510" s="16">
        <v>601.83000000000004</v>
      </c>
      <c r="K510" s="16"/>
    </row>
    <row r="511" spans="1:22" ht="14.4" x14ac:dyDescent="0.3">
      <c r="A511" s="13"/>
      <c r="B511" s="13"/>
      <c r="C511" s="13" t="s">
        <v>319</v>
      </c>
      <c r="D511" s="14" t="s">
        <v>313</v>
      </c>
      <c r="E511" s="2">
        <v>108</v>
      </c>
      <c r="F511" s="16"/>
      <c r="G511" s="15"/>
      <c r="H511" s="2"/>
      <c r="I511" s="2"/>
      <c r="J511" s="16">
        <v>0.02</v>
      </c>
      <c r="K511" s="16"/>
    </row>
    <row r="512" spans="1:22" ht="14.4" x14ac:dyDescent="0.3">
      <c r="A512" s="13"/>
      <c r="B512" s="13"/>
      <c r="C512" s="13" t="s">
        <v>315</v>
      </c>
      <c r="D512" s="14" t="s">
        <v>316</v>
      </c>
      <c r="E512" s="2">
        <v>15.18</v>
      </c>
      <c r="F512" s="16"/>
      <c r="G512" s="15" t="s">
        <v>1</v>
      </c>
      <c r="H512" s="2">
        <v>1</v>
      </c>
      <c r="I512" s="2"/>
      <c r="J512" s="16"/>
      <c r="K512" s="16">
        <v>9.1079999999999988</v>
      </c>
    </row>
    <row r="513" spans="1:22" ht="13.8" x14ac:dyDescent="0.25">
      <c r="A513" s="20"/>
      <c r="B513" s="20"/>
      <c r="C513" s="20"/>
      <c r="D513" s="20"/>
      <c r="E513" s="20"/>
      <c r="F513" s="20"/>
      <c r="G513" s="20"/>
      <c r="H513" s="20"/>
      <c r="I513" s="58">
        <v>20706.530000000002</v>
      </c>
      <c r="J513" s="58"/>
      <c r="K513" s="21">
        <v>34510.879999999997</v>
      </c>
      <c r="P513" s="18">
        <v>20706.530000000002</v>
      </c>
    </row>
    <row r="514" spans="1:22" ht="27.6" x14ac:dyDescent="0.3">
      <c r="A514" s="13">
        <v>48</v>
      </c>
      <c r="B514" s="13" t="s">
        <v>63</v>
      </c>
      <c r="C514" s="13" t="s">
        <v>64</v>
      </c>
      <c r="D514" s="14" t="s">
        <v>4</v>
      </c>
      <c r="E514" s="2">
        <v>0.22</v>
      </c>
      <c r="F514" s="16"/>
      <c r="G514" s="15"/>
      <c r="H514" s="2"/>
      <c r="I514" s="2"/>
      <c r="J514" s="16"/>
      <c r="K514" s="16"/>
      <c r="Q514">
        <v>4802.37</v>
      </c>
      <c r="R514">
        <v>4802.37</v>
      </c>
      <c r="S514">
        <v>686.05</v>
      </c>
      <c r="T514">
        <v>686.05</v>
      </c>
      <c r="U514">
        <v>0</v>
      </c>
      <c r="V514">
        <v>0</v>
      </c>
    </row>
    <row r="515" spans="1:22" x14ac:dyDescent="0.25">
      <c r="C515" s="17" t="s">
        <v>428</v>
      </c>
    </row>
    <row r="516" spans="1:22" ht="14.4" x14ac:dyDescent="0.3">
      <c r="A516" s="13"/>
      <c r="B516" s="13"/>
      <c r="C516" s="13" t="s">
        <v>310</v>
      </c>
      <c r="D516" s="14"/>
      <c r="E516" s="2"/>
      <c r="F516" s="16">
        <v>31184.22</v>
      </c>
      <c r="G516" s="15" t="s">
        <v>1</v>
      </c>
      <c r="H516" s="2">
        <v>1</v>
      </c>
      <c r="I516" s="2">
        <v>1</v>
      </c>
      <c r="J516" s="16">
        <v>6860.53</v>
      </c>
      <c r="K516" s="16"/>
    </row>
    <row r="517" spans="1:22" ht="14.4" x14ac:dyDescent="0.3">
      <c r="A517" s="13"/>
      <c r="B517" s="13"/>
      <c r="C517" s="13" t="s">
        <v>312</v>
      </c>
      <c r="D517" s="14" t="s">
        <v>313</v>
      </c>
      <c r="E517" s="2">
        <v>70</v>
      </c>
      <c r="F517" s="16"/>
      <c r="G517" s="15"/>
      <c r="H517" s="2"/>
      <c r="I517" s="2"/>
      <c r="J517" s="16">
        <v>4802.37</v>
      </c>
      <c r="K517" s="16"/>
    </row>
    <row r="518" spans="1:22" ht="14.4" x14ac:dyDescent="0.3">
      <c r="A518" s="13"/>
      <c r="B518" s="13"/>
      <c r="C518" s="13" t="s">
        <v>314</v>
      </c>
      <c r="D518" s="14" t="s">
        <v>313</v>
      </c>
      <c r="E518" s="2">
        <v>10</v>
      </c>
      <c r="F518" s="16"/>
      <c r="G518" s="15"/>
      <c r="H518" s="2"/>
      <c r="I518" s="2"/>
      <c r="J518" s="16">
        <v>686.05</v>
      </c>
      <c r="K518" s="16"/>
    </row>
    <row r="519" spans="1:22" ht="14.4" x14ac:dyDescent="0.3">
      <c r="A519" s="13"/>
      <c r="B519" s="13"/>
      <c r="C519" s="13" t="s">
        <v>315</v>
      </c>
      <c r="D519" s="14" t="s">
        <v>316</v>
      </c>
      <c r="E519" s="2">
        <v>67.19</v>
      </c>
      <c r="F519" s="16"/>
      <c r="G519" s="15" t="s">
        <v>1</v>
      </c>
      <c r="H519" s="2">
        <v>1</v>
      </c>
      <c r="I519" s="2"/>
      <c r="J519" s="16"/>
      <c r="K519" s="16">
        <v>14.781799999999999</v>
      </c>
    </row>
    <row r="520" spans="1:22" ht="13.8" x14ac:dyDescent="0.25">
      <c r="A520" s="20"/>
      <c r="B520" s="20"/>
      <c r="C520" s="20"/>
      <c r="D520" s="20"/>
      <c r="E520" s="20"/>
      <c r="F520" s="20"/>
      <c r="G520" s="20"/>
      <c r="H520" s="20"/>
      <c r="I520" s="58">
        <v>12348.949999999999</v>
      </c>
      <c r="J520" s="58"/>
      <c r="K520" s="21">
        <v>56131.59</v>
      </c>
      <c r="P520" s="18">
        <v>12348.949999999999</v>
      </c>
    </row>
    <row r="521" spans="1:22" ht="27.6" x14ac:dyDescent="0.3">
      <c r="A521" s="13">
        <v>49</v>
      </c>
      <c r="B521" s="13" t="s">
        <v>109</v>
      </c>
      <c r="C521" s="13" t="s">
        <v>110</v>
      </c>
      <c r="D521" s="14" t="s">
        <v>4</v>
      </c>
      <c r="E521" s="2">
        <v>0.22</v>
      </c>
      <c r="F521" s="16"/>
      <c r="G521" s="15"/>
      <c r="H521" s="2"/>
      <c r="I521" s="2"/>
      <c r="J521" s="16"/>
      <c r="K521" s="16"/>
      <c r="Q521">
        <v>3382.51</v>
      </c>
      <c r="R521">
        <v>3382.51</v>
      </c>
      <c r="S521">
        <v>483.22</v>
      </c>
      <c r="T521">
        <v>483.22</v>
      </c>
      <c r="U521">
        <v>0</v>
      </c>
      <c r="V521">
        <v>0</v>
      </c>
    </row>
    <row r="522" spans="1:22" x14ac:dyDescent="0.25">
      <c r="C522" s="17" t="s">
        <v>428</v>
      </c>
    </row>
    <row r="523" spans="1:22" ht="14.4" x14ac:dyDescent="0.3">
      <c r="A523" s="13"/>
      <c r="B523" s="13"/>
      <c r="C523" s="13" t="s">
        <v>310</v>
      </c>
      <c r="D523" s="14"/>
      <c r="E523" s="2"/>
      <c r="F523" s="16">
        <v>21964.33</v>
      </c>
      <c r="G523" s="15" t="s">
        <v>1</v>
      </c>
      <c r="H523" s="2">
        <v>1</v>
      </c>
      <c r="I523" s="2">
        <v>1</v>
      </c>
      <c r="J523" s="16">
        <v>4832.1499999999996</v>
      </c>
      <c r="K523" s="16"/>
    </row>
    <row r="524" spans="1:22" ht="14.4" x14ac:dyDescent="0.3">
      <c r="A524" s="13"/>
      <c r="B524" s="13"/>
      <c r="C524" s="13" t="s">
        <v>311</v>
      </c>
      <c r="D524" s="14"/>
      <c r="E524" s="2"/>
      <c r="F524" s="16">
        <v>9087.52</v>
      </c>
      <c r="G524" s="15" t="s">
        <v>1</v>
      </c>
      <c r="H524" s="2">
        <v>1</v>
      </c>
      <c r="I524" s="2">
        <v>1</v>
      </c>
      <c r="J524" s="16">
        <v>1999.25</v>
      </c>
      <c r="K524" s="16"/>
    </row>
    <row r="525" spans="1:22" ht="14.4" x14ac:dyDescent="0.3">
      <c r="A525" s="13"/>
      <c r="B525" s="13"/>
      <c r="C525" s="13" t="s">
        <v>312</v>
      </c>
      <c r="D525" s="14" t="s">
        <v>313</v>
      </c>
      <c r="E525" s="2">
        <v>70</v>
      </c>
      <c r="F525" s="16"/>
      <c r="G525" s="15"/>
      <c r="H525" s="2"/>
      <c r="I525" s="2"/>
      <c r="J525" s="16">
        <v>3382.51</v>
      </c>
      <c r="K525" s="16"/>
    </row>
    <row r="526" spans="1:22" ht="14.4" x14ac:dyDescent="0.3">
      <c r="A526" s="13"/>
      <c r="B526" s="13"/>
      <c r="C526" s="13" t="s">
        <v>314</v>
      </c>
      <c r="D526" s="14" t="s">
        <v>313</v>
      </c>
      <c r="E526" s="2">
        <v>10</v>
      </c>
      <c r="F526" s="16"/>
      <c r="G526" s="15"/>
      <c r="H526" s="2"/>
      <c r="I526" s="2"/>
      <c r="J526" s="16">
        <v>483.22</v>
      </c>
      <c r="K526" s="16"/>
    </row>
    <row r="527" spans="1:22" ht="14.4" x14ac:dyDescent="0.3">
      <c r="A527" s="13"/>
      <c r="B527" s="13"/>
      <c r="C527" s="13" t="s">
        <v>315</v>
      </c>
      <c r="D527" s="14" t="s">
        <v>316</v>
      </c>
      <c r="E527" s="2">
        <v>45.7</v>
      </c>
      <c r="F527" s="16"/>
      <c r="G527" s="15" t="s">
        <v>1</v>
      </c>
      <c r="H527" s="2">
        <v>1</v>
      </c>
      <c r="I527" s="2"/>
      <c r="J527" s="16"/>
      <c r="K527" s="16">
        <v>10.054</v>
      </c>
    </row>
    <row r="528" spans="1:22" ht="13.8" x14ac:dyDescent="0.25">
      <c r="A528" s="20"/>
      <c r="B528" s="20"/>
      <c r="C528" s="20"/>
      <c r="D528" s="20"/>
      <c r="E528" s="20"/>
      <c r="F528" s="20"/>
      <c r="G528" s="20"/>
      <c r="H528" s="20"/>
      <c r="I528" s="58">
        <v>10697.13</v>
      </c>
      <c r="J528" s="58"/>
      <c r="K528" s="21">
        <v>48623.32</v>
      </c>
      <c r="P528" s="18">
        <v>10697.13</v>
      </c>
    </row>
    <row r="529" spans="1:22" ht="27.6" x14ac:dyDescent="0.3">
      <c r="A529" s="13">
        <v>50</v>
      </c>
      <c r="B529" s="13" t="s">
        <v>65</v>
      </c>
      <c r="C529" s="13" t="s">
        <v>66</v>
      </c>
      <c r="D529" s="14" t="s">
        <v>4</v>
      </c>
      <c r="E529" s="2">
        <v>0.22</v>
      </c>
      <c r="F529" s="16"/>
      <c r="G529" s="15"/>
      <c r="H529" s="2"/>
      <c r="I529" s="2"/>
      <c r="J529" s="16"/>
      <c r="K529" s="16"/>
      <c r="Q529">
        <v>3500.39</v>
      </c>
      <c r="R529">
        <v>3500.39</v>
      </c>
      <c r="S529">
        <v>500.06</v>
      </c>
      <c r="T529">
        <v>500.06</v>
      </c>
      <c r="U529">
        <v>0.12</v>
      </c>
      <c r="V529">
        <v>0.08</v>
      </c>
    </row>
    <row r="530" spans="1:22" x14ac:dyDescent="0.25">
      <c r="C530" s="17" t="s">
        <v>428</v>
      </c>
    </row>
    <row r="531" spans="1:22" ht="14.4" x14ac:dyDescent="0.3">
      <c r="A531" s="13"/>
      <c r="B531" s="13"/>
      <c r="C531" s="13" t="s">
        <v>310</v>
      </c>
      <c r="D531" s="14"/>
      <c r="E531" s="2"/>
      <c r="F531" s="16">
        <v>22729.78</v>
      </c>
      <c r="G531" s="15" t="s">
        <v>1</v>
      </c>
      <c r="H531" s="2">
        <v>1</v>
      </c>
      <c r="I531" s="2">
        <v>1</v>
      </c>
      <c r="J531" s="16">
        <v>5000.55</v>
      </c>
      <c r="K531" s="16"/>
    </row>
    <row r="532" spans="1:22" ht="14.4" x14ac:dyDescent="0.3">
      <c r="A532" s="13"/>
      <c r="B532" s="13"/>
      <c r="C532" s="13" t="s">
        <v>317</v>
      </c>
      <c r="D532" s="14"/>
      <c r="E532" s="2"/>
      <c r="F532" s="16">
        <v>14.21</v>
      </c>
      <c r="G532" s="15" t="s">
        <v>1</v>
      </c>
      <c r="H532" s="2">
        <v>1</v>
      </c>
      <c r="I532" s="2">
        <v>1</v>
      </c>
      <c r="J532" s="16">
        <v>3.13</v>
      </c>
      <c r="K532" s="16"/>
    </row>
    <row r="533" spans="1:22" ht="14.4" x14ac:dyDescent="0.3">
      <c r="A533" s="13"/>
      <c r="B533" s="13"/>
      <c r="C533" s="13" t="s">
        <v>318</v>
      </c>
      <c r="D533" s="14"/>
      <c r="E533" s="2"/>
      <c r="F533" s="16">
        <v>0.3</v>
      </c>
      <c r="G533" s="15" t="s">
        <v>1</v>
      </c>
      <c r="H533" s="2">
        <v>1</v>
      </c>
      <c r="I533" s="2">
        <v>1</v>
      </c>
      <c r="J533" s="22">
        <v>7.0000000000000007E-2</v>
      </c>
      <c r="K533" s="16"/>
    </row>
    <row r="534" spans="1:22" ht="14.4" x14ac:dyDescent="0.3">
      <c r="A534" s="13"/>
      <c r="B534" s="13"/>
      <c r="C534" s="13" t="s">
        <v>311</v>
      </c>
      <c r="D534" s="14"/>
      <c r="E534" s="2"/>
      <c r="F534" s="16">
        <v>94236.34</v>
      </c>
      <c r="G534" s="15" t="s">
        <v>1</v>
      </c>
      <c r="H534" s="2">
        <v>1</v>
      </c>
      <c r="I534" s="2">
        <v>1</v>
      </c>
      <c r="J534" s="16">
        <v>20731.990000000002</v>
      </c>
      <c r="K534" s="16"/>
    </row>
    <row r="535" spans="1:22" ht="14.4" x14ac:dyDescent="0.3">
      <c r="A535" s="13"/>
      <c r="B535" s="13"/>
      <c r="C535" s="13" t="s">
        <v>312</v>
      </c>
      <c r="D535" s="14" t="s">
        <v>313</v>
      </c>
      <c r="E535" s="2">
        <v>70</v>
      </c>
      <c r="F535" s="16"/>
      <c r="G535" s="15"/>
      <c r="H535" s="2"/>
      <c r="I535" s="2"/>
      <c r="J535" s="16">
        <v>3500.39</v>
      </c>
      <c r="K535" s="16"/>
    </row>
    <row r="536" spans="1:22" ht="14.4" x14ac:dyDescent="0.3">
      <c r="A536" s="13"/>
      <c r="B536" s="13"/>
      <c r="C536" s="13" t="s">
        <v>314</v>
      </c>
      <c r="D536" s="14" t="s">
        <v>313</v>
      </c>
      <c r="E536" s="2">
        <v>10</v>
      </c>
      <c r="F536" s="16"/>
      <c r="G536" s="15"/>
      <c r="H536" s="2"/>
      <c r="I536" s="2"/>
      <c r="J536" s="16">
        <v>500.06</v>
      </c>
      <c r="K536" s="16"/>
    </row>
    <row r="537" spans="1:22" ht="14.4" x14ac:dyDescent="0.3">
      <c r="A537" s="13"/>
      <c r="B537" s="13"/>
      <c r="C537" s="13" t="s">
        <v>319</v>
      </c>
      <c r="D537" s="14" t="s">
        <v>313</v>
      </c>
      <c r="E537" s="2">
        <v>108</v>
      </c>
      <c r="F537" s="16"/>
      <c r="G537" s="15"/>
      <c r="H537" s="2"/>
      <c r="I537" s="2"/>
      <c r="J537" s="16">
        <v>0.08</v>
      </c>
      <c r="K537" s="16"/>
    </row>
    <row r="538" spans="1:22" ht="14.4" x14ac:dyDescent="0.3">
      <c r="A538" s="13"/>
      <c r="B538" s="13"/>
      <c r="C538" s="13" t="s">
        <v>315</v>
      </c>
      <c r="D538" s="14" t="s">
        <v>316</v>
      </c>
      <c r="E538" s="2">
        <v>42.85</v>
      </c>
      <c r="F538" s="16"/>
      <c r="G538" s="15" t="s">
        <v>1</v>
      </c>
      <c r="H538" s="2">
        <v>1</v>
      </c>
      <c r="I538" s="2"/>
      <c r="J538" s="16"/>
      <c r="K538" s="16">
        <v>9.4269999999999996</v>
      </c>
    </row>
    <row r="539" spans="1:22" ht="13.8" x14ac:dyDescent="0.25">
      <c r="A539" s="20"/>
      <c r="B539" s="20"/>
      <c r="C539" s="20"/>
      <c r="D539" s="20"/>
      <c r="E539" s="20"/>
      <c r="F539" s="20"/>
      <c r="G539" s="20"/>
      <c r="H539" s="20"/>
      <c r="I539" s="58">
        <v>29736.200000000004</v>
      </c>
      <c r="J539" s="58"/>
      <c r="K539" s="21">
        <v>135164.54999999999</v>
      </c>
      <c r="P539" s="18">
        <v>29736.200000000004</v>
      </c>
    </row>
    <row r="540" spans="1:22" ht="27.6" x14ac:dyDescent="0.3">
      <c r="A540" s="13">
        <v>51</v>
      </c>
      <c r="B540" s="13" t="s">
        <v>57</v>
      </c>
      <c r="C540" s="13" t="s">
        <v>58</v>
      </c>
      <c r="D540" s="14" t="s">
        <v>41</v>
      </c>
      <c r="E540" s="2">
        <v>6.8</v>
      </c>
      <c r="F540" s="16"/>
      <c r="G540" s="15"/>
      <c r="H540" s="2"/>
      <c r="I540" s="2"/>
      <c r="J540" s="16"/>
      <c r="K540" s="16"/>
      <c r="Q540">
        <v>1325.52</v>
      </c>
      <c r="R540">
        <v>1325.52</v>
      </c>
      <c r="S540">
        <v>189.36</v>
      </c>
      <c r="T540">
        <v>189.36</v>
      </c>
      <c r="U540">
        <v>0</v>
      </c>
      <c r="V540">
        <v>0</v>
      </c>
    </row>
    <row r="541" spans="1:22" ht="14.4" x14ac:dyDescent="0.3">
      <c r="A541" s="13"/>
      <c r="B541" s="13"/>
      <c r="C541" s="13" t="s">
        <v>310</v>
      </c>
      <c r="D541" s="14"/>
      <c r="E541" s="2"/>
      <c r="F541" s="16">
        <v>278.47000000000003</v>
      </c>
      <c r="G541" s="15" t="s">
        <v>1</v>
      </c>
      <c r="H541" s="2">
        <v>1</v>
      </c>
      <c r="I541" s="2">
        <v>1</v>
      </c>
      <c r="J541" s="16">
        <v>1893.6</v>
      </c>
      <c r="K541" s="16"/>
    </row>
    <row r="542" spans="1:22" ht="14.4" x14ac:dyDescent="0.3">
      <c r="A542" s="13"/>
      <c r="B542" s="13"/>
      <c r="C542" s="13" t="s">
        <v>312</v>
      </c>
      <c r="D542" s="14" t="s">
        <v>313</v>
      </c>
      <c r="E542" s="2">
        <v>70</v>
      </c>
      <c r="F542" s="16"/>
      <c r="G542" s="15"/>
      <c r="H542" s="2"/>
      <c r="I542" s="2"/>
      <c r="J542" s="16">
        <v>1325.52</v>
      </c>
      <c r="K542" s="16"/>
    </row>
    <row r="543" spans="1:22" ht="14.4" x14ac:dyDescent="0.3">
      <c r="A543" s="13"/>
      <c r="B543" s="13"/>
      <c r="C543" s="13" t="s">
        <v>314</v>
      </c>
      <c r="D543" s="14" t="s">
        <v>313</v>
      </c>
      <c r="E543" s="2">
        <v>10</v>
      </c>
      <c r="F543" s="16"/>
      <c r="G543" s="15"/>
      <c r="H543" s="2"/>
      <c r="I543" s="2"/>
      <c r="J543" s="16">
        <v>189.36</v>
      </c>
      <c r="K543" s="16"/>
    </row>
    <row r="544" spans="1:22" ht="14.4" x14ac:dyDescent="0.3">
      <c r="A544" s="13"/>
      <c r="B544" s="13"/>
      <c r="C544" s="13" t="s">
        <v>315</v>
      </c>
      <c r="D544" s="14" t="s">
        <v>316</v>
      </c>
      <c r="E544" s="2">
        <v>0.6</v>
      </c>
      <c r="F544" s="16"/>
      <c r="G544" s="15" t="s">
        <v>1</v>
      </c>
      <c r="H544" s="2">
        <v>1</v>
      </c>
      <c r="I544" s="2"/>
      <c r="J544" s="16"/>
      <c r="K544" s="16">
        <v>4.08</v>
      </c>
    </row>
    <row r="545" spans="1:22" ht="13.8" x14ac:dyDescent="0.25">
      <c r="A545" s="20"/>
      <c r="B545" s="20"/>
      <c r="C545" s="20"/>
      <c r="D545" s="20"/>
      <c r="E545" s="20"/>
      <c r="F545" s="20"/>
      <c r="G545" s="20"/>
      <c r="H545" s="20"/>
      <c r="I545" s="58">
        <v>3408.48</v>
      </c>
      <c r="J545" s="58"/>
      <c r="K545" s="21">
        <v>501.25</v>
      </c>
      <c r="P545" s="18">
        <v>3408.48</v>
      </c>
    </row>
    <row r="546" spans="1:22" ht="41.4" x14ac:dyDescent="0.3">
      <c r="A546" s="13">
        <v>52</v>
      </c>
      <c r="B546" s="13" t="s">
        <v>111</v>
      </c>
      <c r="C546" s="13" t="s">
        <v>112</v>
      </c>
      <c r="D546" s="14" t="s">
        <v>4</v>
      </c>
      <c r="E546" s="2">
        <v>6.8000000000000005E-2</v>
      </c>
      <c r="F546" s="16"/>
      <c r="G546" s="15"/>
      <c r="H546" s="2"/>
      <c r="I546" s="2"/>
      <c r="J546" s="16"/>
      <c r="K546" s="16"/>
      <c r="Q546">
        <v>459.54</v>
      </c>
      <c r="R546">
        <v>459.54</v>
      </c>
      <c r="S546">
        <v>65.650000000000006</v>
      </c>
      <c r="T546">
        <v>65.650000000000006</v>
      </c>
      <c r="U546">
        <v>0</v>
      </c>
      <c r="V546">
        <v>0</v>
      </c>
    </row>
    <row r="547" spans="1:22" x14ac:dyDescent="0.25">
      <c r="C547" s="17" t="s">
        <v>429</v>
      </c>
    </row>
    <row r="548" spans="1:22" ht="14.4" x14ac:dyDescent="0.3">
      <c r="A548" s="13"/>
      <c r="B548" s="13"/>
      <c r="C548" s="13" t="s">
        <v>310</v>
      </c>
      <c r="D548" s="14"/>
      <c r="E548" s="2"/>
      <c r="F548" s="16">
        <v>9654.19</v>
      </c>
      <c r="G548" s="15" t="s">
        <v>1</v>
      </c>
      <c r="H548" s="2">
        <v>1</v>
      </c>
      <c r="I548" s="2">
        <v>1</v>
      </c>
      <c r="J548" s="16">
        <v>656.48</v>
      </c>
      <c r="K548" s="16"/>
    </row>
    <row r="549" spans="1:22" ht="14.4" x14ac:dyDescent="0.3">
      <c r="A549" s="13"/>
      <c r="B549" s="13"/>
      <c r="C549" s="13" t="s">
        <v>317</v>
      </c>
      <c r="D549" s="14"/>
      <c r="E549" s="2"/>
      <c r="F549" s="16">
        <v>0.32</v>
      </c>
      <c r="G549" s="15" t="s">
        <v>1</v>
      </c>
      <c r="H549" s="2">
        <v>1</v>
      </c>
      <c r="I549" s="2">
        <v>1</v>
      </c>
      <c r="J549" s="16">
        <v>0.02</v>
      </c>
      <c r="K549" s="16"/>
    </row>
    <row r="550" spans="1:22" ht="14.4" x14ac:dyDescent="0.3">
      <c r="A550" s="13"/>
      <c r="B550" s="13"/>
      <c r="C550" s="13" t="s">
        <v>311</v>
      </c>
      <c r="D550" s="14"/>
      <c r="E550" s="2"/>
      <c r="F550" s="16">
        <v>2412.88</v>
      </c>
      <c r="G550" s="15" t="s">
        <v>1</v>
      </c>
      <c r="H550" s="2">
        <v>1</v>
      </c>
      <c r="I550" s="2">
        <v>1</v>
      </c>
      <c r="J550" s="16">
        <v>164.08</v>
      </c>
      <c r="K550" s="16"/>
    </row>
    <row r="551" spans="1:22" ht="14.4" x14ac:dyDescent="0.3">
      <c r="A551" s="13"/>
      <c r="B551" s="13"/>
      <c r="C551" s="13" t="s">
        <v>312</v>
      </c>
      <c r="D551" s="14" t="s">
        <v>313</v>
      </c>
      <c r="E551" s="2">
        <v>70</v>
      </c>
      <c r="F551" s="16"/>
      <c r="G551" s="15"/>
      <c r="H551" s="2"/>
      <c r="I551" s="2"/>
      <c r="J551" s="16">
        <v>459.54</v>
      </c>
      <c r="K551" s="16"/>
    </row>
    <row r="552" spans="1:22" ht="14.4" x14ac:dyDescent="0.3">
      <c r="A552" s="13"/>
      <c r="B552" s="13"/>
      <c r="C552" s="13" t="s">
        <v>314</v>
      </c>
      <c r="D552" s="14" t="s">
        <v>313</v>
      </c>
      <c r="E552" s="2">
        <v>10</v>
      </c>
      <c r="F552" s="16"/>
      <c r="G552" s="15"/>
      <c r="H552" s="2"/>
      <c r="I552" s="2"/>
      <c r="J552" s="16">
        <v>65.650000000000006</v>
      </c>
      <c r="K552" s="16"/>
    </row>
    <row r="553" spans="1:22" ht="14.4" x14ac:dyDescent="0.3">
      <c r="A553" s="13"/>
      <c r="B553" s="13"/>
      <c r="C553" s="13" t="s">
        <v>315</v>
      </c>
      <c r="D553" s="14" t="s">
        <v>316</v>
      </c>
      <c r="E553" s="2">
        <v>18.2</v>
      </c>
      <c r="F553" s="16"/>
      <c r="G553" s="15" t="s">
        <v>1</v>
      </c>
      <c r="H553" s="2">
        <v>1</v>
      </c>
      <c r="I553" s="2"/>
      <c r="J553" s="16"/>
      <c r="K553" s="16">
        <v>1.2376</v>
      </c>
    </row>
    <row r="554" spans="1:22" ht="13.8" x14ac:dyDescent="0.25">
      <c r="A554" s="20"/>
      <c r="B554" s="20"/>
      <c r="C554" s="20"/>
      <c r="D554" s="20"/>
      <c r="E554" s="20"/>
      <c r="F554" s="20"/>
      <c r="G554" s="20"/>
      <c r="H554" s="20"/>
      <c r="I554" s="58">
        <v>1345.7700000000002</v>
      </c>
      <c r="J554" s="58"/>
      <c r="K554" s="21">
        <v>19790.740000000002</v>
      </c>
      <c r="P554" s="18">
        <v>1345.7700000000002</v>
      </c>
    </row>
    <row r="556" spans="1:22" ht="13.8" x14ac:dyDescent="0.25">
      <c r="A556" s="61" t="s">
        <v>430</v>
      </c>
      <c r="B556" s="61"/>
      <c r="C556" s="61"/>
      <c r="D556" s="61"/>
      <c r="E556" s="61"/>
      <c r="F556" s="61"/>
      <c r="G556" s="61"/>
      <c r="H556" s="61"/>
      <c r="I556" s="59">
        <v>1461890.76</v>
      </c>
      <c r="J556" s="60"/>
      <c r="K556" s="23"/>
    </row>
    <row r="559" spans="1:22" ht="16.8" x14ac:dyDescent="0.3">
      <c r="A559" s="57" t="s">
        <v>396</v>
      </c>
      <c r="B559" s="57"/>
      <c r="C559" s="57"/>
      <c r="D559" s="57"/>
      <c r="E559" s="57"/>
      <c r="F559" s="57"/>
      <c r="G559" s="57"/>
      <c r="H559" s="57"/>
      <c r="I559" s="57"/>
      <c r="J559" s="57"/>
      <c r="K559" s="57"/>
    </row>
    <row r="560" spans="1:22" ht="41.4" x14ac:dyDescent="0.3">
      <c r="A560" s="13">
        <v>53</v>
      </c>
      <c r="B560" s="13" t="s">
        <v>114</v>
      </c>
      <c r="C560" s="13" t="s">
        <v>115</v>
      </c>
      <c r="D560" s="14" t="s">
        <v>30</v>
      </c>
      <c r="E560" s="2">
        <v>29.94</v>
      </c>
      <c r="F560" s="16"/>
      <c r="G560" s="15"/>
      <c r="H560" s="2"/>
      <c r="I560" s="2"/>
      <c r="J560" s="16"/>
      <c r="K560" s="16"/>
      <c r="Q560">
        <v>0</v>
      </c>
      <c r="R560">
        <v>0</v>
      </c>
      <c r="S560">
        <v>0</v>
      </c>
      <c r="T560">
        <v>0</v>
      </c>
      <c r="U560">
        <v>3217.59</v>
      </c>
      <c r="V560">
        <v>1985.71</v>
      </c>
    </row>
    <row r="561" spans="1:22" ht="14.4" x14ac:dyDescent="0.3">
      <c r="A561" s="13"/>
      <c r="B561" s="13"/>
      <c r="C561" s="13" t="s">
        <v>317</v>
      </c>
      <c r="D561" s="14"/>
      <c r="E561" s="2"/>
      <c r="F561" s="16">
        <v>126.66</v>
      </c>
      <c r="G561" s="15" t="s">
        <v>1</v>
      </c>
      <c r="H561" s="2">
        <v>1</v>
      </c>
      <c r="I561" s="2">
        <v>1</v>
      </c>
      <c r="J561" s="16">
        <v>3792.2</v>
      </c>
      <c r="K561" s="16"/>
    </row>
    <row r="562" spans="1:22" ht="14.4" x14ac:dyDescent="0.3">
      <c r="A562" s="13"/>
      <c r="B562" s="13"/>
      <c r="C562" s="13" t="s">
        <v>318</v>
      </c>
      <c r="D562" s="14"/>
      <c r="E562" s="2"/>
      <c r="F562" s="16">
        <v>61.41</v>
      </c>
      <c r="G562" s="15" t="s">
        <v>1</v>
      </c>
      <c r="H562" s="2">
        <v>1</v>
      </c>
      <c r="I562" s="2">
        <v>1</v>
      </c>
      <c r="J562" s="22">
        <v>1838.62</v>
      </c>
      <c r="K562" s="16"/>
    </row>
    <row r="563" spans="1:22" ht="14.4" x14ac:dyDescent="0.3">
      <c r="A563" s="13"/>
      <c r="B563" s="13"/>
      <c r="C563" s="13" t="s">
        <v>319</v>
      </c>
      <c r="D563" s="14" t="s">
        <v>313</v>
      </c>
      <c r="E563" s="2">
        <v>108</v>
      </c>
      <c r="F563" s="16"/>
      <c r="G563" s="15"/>
      <c r="H563" s="2"/>
      <c r="I563" s="2"/>
      <c r="J563" s="16">
        <v>1985.71</v>
      </c>
      <c r="K563" s="16"/>
    </row>
    <row r="564" spans="1:22" ht="13.8" x14ac:dyDescent="0.25">
      <c r="A564" s="20"/>
      <c r="B564" s="20"/>
      <c r="C564" s="20"/>
      <c r="D564" s="20"/>
      <c r="E564" s="20"/>
      <c r="F564" s="20"/>
      <c r="G564" s="20"/>
      <c r="H564" s="20"/>
      <c r="I564" s="58">
        <v>5777.91</v>
      </c>
      <c r="J564" s="58"/>
      <c r="K564" s="21">
        <v>192.98</v>
      </c>
      <c r="P564" s="18">
        <v>5777.91</v>
      </c>
    </row>
    <row r="565" spans="1:22" ht="55.2" x14ac:dyDescent="0.3">
      <c r="A565" s="13">
        <v>54</v>
      </c>
      <c r="B565" s="13" t="s">
        <v>116</v>
      </c>
      <c r="C565" s="13" t="s">
        <v>117</v>
      </c>
      <c r="D565" s="14" t="s">
        <v>30</v>
      </c>
      <c r="E565" s="2">
        <v>29.94</v>
      </c>
      <c r="F565" s="16"/>
      <c r="G565" s="15"/>
      <c r="H565" s="2"/>
      <c r="I565" s="2"/>
      <c r="J565" s="16"/>
      <c r="K565" s="16"/>
      <c r="Q565">
        <v>0</v>
      </c>
      <c r="R565">
        <v>0</v>
      </c>
      <c r="S565">
        <v>0</v>
      </c>
      <c r="T565">
        <v>0</v>
      </c>
      <c r="U565">
        <v>3523.05</v>
      </c>
      <c r="V565">
        <v>2174.2199999999998</v>
      </c>
    </row>
    <row r="566" spans="1:22" ht="14.4" x14ac:dyDescent="0.3">
      <c r="A566" s="13"/>
      <c r="B566" s="13"/>
      <c r="C566" s="13" t="s">
        <v>317</v>
      </c>
      <c r="D566" s="14"/>
      <c r="E566" s="2"/>
      <c r="F566" s="16">
        <v>100.5</v>
      </c>
      <c r="G566" s="15" t="s">
        <v>1</v>
      </c>
      <c r="H566" s="2">
        <v>1</v>
      </c>
      <c r="I566" s="2">
        <v>1</v>
      </c>
      <c r="J566" s="16">
        <v>3008.97</v>
      </c>
      <c r="K566" s="16"/>
    </row>
    <row r="567" spans="1:22" ht="14.4" x14ac:dyDescent="0.3">
      <c r="A567" s="13"/>
      <c r="B567" s="13"/>
      <c r="C567" s="13" t="s">
        <v>318</v>
      </c>
      <c r="D567" s="14"/>
      <c r="E567" s="2"/>
      <c r="F567" s="16">
        <v>67.239999999999995</v>
      </c>
      <c r="G567" s="15" t="s">
        <v>1</v>
      </c>
      <c r="H567" s="2">
        <v>1</v>
      </c>
      <c r="I567" s="2">
        <v>1</v>
      </c>
      <c r="J567" s="22">
        <v>2013.17</v>
      </c>
      <c r="K567" s="16"/>
    </row>
    <row r="568" spans="1:22" ht="13.8" x14ac:dyDescent="0.25">
      <c r="A568" s="20"/>
      <c r="B568" s="20"/>
      <c r="C568" s="20"/>
      <c r="D568" s="20"/>
      <c r="E568" s="20"/>
      <c r="F568" s="20"/>
      <c r="G568" s="20"/>
      <c r="H568" s="20"/>
      <c r="I568" s="58">
        <v>3008.97</v>
      </c>
      <c r="J568" s="58"/>
      <c r="K568" s="21">
        <v>100.5</v>
      </c>
      <c r="P568" s="18">
        <v>3008.97</v>
      </c>
    </row>
    <row r="569" spans="1:22" ht="55.2" x14ac:dyDescent="0.3">
      <c r="A569" s="13">
        <v>55</v>
      </c>
      <c r="B569" s="13" t="s">
        <v>118</v>
      </c>
      <c r="C569" s="13" t="s">
        <v>119</v>
      </c>
      <c r="D569" s="14" t="s">
        <v>30</v>
      </c>
      <c r="E569" s="2">
        <v>29.94</v>
      </c>
      <c r="F569" s="16"/>
      <c r="G569" s="15"/>
      <c r="H569" s="2"/>
      <c r="I569" s="2"/>
      <c r="J569" s="16"/>
      <c r="K569" s="16"/>
      <c r="Q569">
        <v>0</v>
      </c>
      <c r="R569">
        <v>0</v>
      </c>
      <c r="S569">
        <v>0</v>
      </c>
      <c r="T569">
        <v>0</v>
      </c>
      <c r="U569">
        <v>81795.929999999993</v>
      </c>
      <c r="V569">
        <v>50479.77</v>
      </c>
    </row>
    <row r="570" spans="1:22" ht="14.4" x14ac:dyDescent="0.3">
      <c r="A570" s="13"/>
      <c r="B570" s="13"/>
      <c r="C570" s="13" t="s">
        <v>317</v>
      </c>
      <c r="D570" s="14"/>
      <c r="E570" s="2"/>
      <c r="F570" s="16">
        <v>47.55</v>
      </c>
      <c r="G570" s="15" t="s">
        <v>120</v>
      </c>
      <c r="H570" s="2">
        <v>1</v>
      </c>
      <c r="I570" s="2">
        <v>1</v>
      </c>
      <c r="J570" s="16">
        <v>69758.7</v>
      </c>
      <c r="K570" s="16"/>
    </row>
    <row r="571" spans="1:22" ht="14.4" x14ac:dyDescent="0.3">
      <c r="A571" s="13"/>
      <c r="B571" s="13"/>
      <c r="C571" s="13" t="s">
        <v>318</v>
      </c>
      <c r="D571" s="14"/>
      <c r="E571" s="2"/>
      <c r="F571" s="16">
        <v>31.86</v>
      </c>
      <c r="G571" s="15" t="s">
        <v>120</v>
      </c>
      <c r="H571" s="2">
        <v>1</v>
      </c>
      <c r="I571" s="2">
        <v>1</v>
      </c>
      <c r="J571" s="22">
        <v>46740.53</v>
      </c>
      <c r="K571" s="16"/>
    </row>
    <row r="572" spans="1:22" ht="13.8" x14ac:dyDescent="0.25">
      <c r="A572" s="20"/>
      <c r="B572" s="20"/>
      <c r="C572" s="20"/>
      <c r="D572" s="20"/>
      <c r="E572" s="20"/>
      <c r="F572" s="20"/>
      <c r="G572" s="20"/>
      <c r="H572" s="20"/>
      <c r="I572" s="58">
        <v>69758.7</v>
      </c>
      <c r="J572" s="58"/>
      <c r="K572" s="21">
        <v>2329.9499999999998</v>
      </c>
      <c r="P572" s="18">
        <v>69758.7</v>
      </c>
    </row>
    <row r="574" spans="1:22" ht="13.8" x14ac:dyDescent="0.25">
      <c r="A574" s="61" t="s">
        <v>431</v>
      </c>
      <c r="B574" s="61"/>
      <c r="C574" s="61"/>
      <c r="D574" s="61"/>
      <c r="E574" s="61"/>
      <c r="F574" s="61"/>
      <c r="G574" s="61"/>
      <c r="H574" s="61"/>
      <c r="I574" s="59">
        <v>78545.58</v>
      </c>
      <c r="J574" s="60"/>
      <c r="K574" s="23"/>
    </row>
    <row r="577" spans="1:32" ht="13.8" x14ac:dyDescent="0.25">
      <c r="A577" s="61" t="s">
        <v>432</v>
      </c>
      <c r="B577" s="61"/>
      <c r="C577" s="61"/>
      <c r="D577" s="61"/>
      <c r="E577" s="61"/>
      <c r="F577" s="61"/>
      <c r="G577" s="61"/>
      <c r="H577" s="61"/>
      <c r="I577" s="59">
        <v>5471093.1299999999</v>
      </c>
      <c r="J577" s="60"/>
      <c r="K577" s="23"/>
      <c r="AF577" s="24" t="s">
        <v>432</v>
      </c>
    </row>
    <row r="579" spans="1:32" ht="13.8" x14ac:dyDescent="0.25">
      <c r="C579" s="43" t="s">
        <v>121</v>
      </c>
      <c r="D579" s="43"/>
      <c r="E579" s="43"/>
      <c r="F579" s="43"/>
      <c r="G579" s="43"/>
      <c r="H579" s="43"/>
      <c r="I579" s="52">
        <v>5471093.1299999999</v>
      </c>
      <c r="J579" s="52"/>
    </row>
    <row r="580" spans="1:32" ht="13.8" x14ac:dyDescent="0.25">
      <c r="C580" s="43" t="s">
        <v>122</v>
      </c>
      <c r="D580" s="43"/>
      <c r="E580" s="43"/>
      <c r="F580" s="43"/>
      <c r="G580" s="43"/>
      <c r="H580" s="43"/>
      <c r="I580" s="52">
        <v>1203640.49</v>
      </c>
      <c r="J580" s="52"/>
    </row>
    <row r="581" spans="1:32" ht="13.8" x14ac:dyDescent="0.25">
      <c r="C581" s="43" t="s">
        <v>123</v>
      </c>
      <c r="D581" s="43"/>
      <c r="E581" s="43"/>
      <c r="F581" s="43"/>
      <c r="G581" s="43"/>
      <c r="H581" s="43"/>
      <c r="I581" s="52">
        <v>6674733.6200000001</v>
      </c>
      <c r="J581" s="52"/>
    </row>
    <row r="585" spans="1:32" ht="13.8" x14ac:dyDescent="0.25">
      <c r="A585" s="62" t="s">
        <v>326</v>
      </c>
      <c r="B585" s="62"/>
      <c r="C585" s="41" t="s">
        <v>434</v>
      </c>
      <c r="D585" s="41"/>
      <c r="E585" s="41"/>
      <c r="F585" s="64" t="s">
        <v>435</v>
      </c>
      <c r="G585" s="65"/>
      <c r="H585" s="3" t="s">
        <v>433</v>
      </c>
      <c r="I585" s="3"/>
      <c r="J585" s="3"/>
      <c r="K585" s="3"/>
    </row>
    <row r="586" spans="1:32" ht="13.8" x14ac:dyDescent="0.25">
      <c r="A586" s="3"/>
      <c r="B586" s="3"/>
      <c r="C586" s="63" t="s">
        <v>327</v>
      </c>
      <c r="D586" s="63"/>
      <c r="E586" s="63"/>
      <c r="F586" s="63"/>
      <c r="G586" s="63"/>
      <c r="H586" s="3"/>
      <c r="I586" s="3"/>
      <c r="J586" s="3"/>
      <c r="K586" s="3"/>
    </row>
    <row r="587" spans="1:32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32" ht="13.8" x14ac:dyDescent="0.25">
      <c r="A588" s="62" t="s">
        <v>328</v>
      </c>
      <c r="B588" s="62"/>
      <c r="C588" s="41" t="s">
        <v>436</v>
      </c>
      <c r="D588" s="41"/>
      <c r="E588" s="41"/>
      <c r="F588" s="66" t="s">
        <v>437</v>
      </c>
      <c r="G588" s="67"/>
      <c r="H588" s="3" t="s">
        <v>433</v>
      </c>
      <c r="I588" s="3"/>
      <c r="J588" s="3"/>
      <c r="K588" s="3"/>
    </row>
    <row r="589" spans="1:32" ht="13.8" x14ac:dyDescent="0.25">
      <c r="A589" s="3"/>
      <c r="B589" s="3"/>
      <c r="C589" s="63" t="s">
        <v>327</v>
      </c>
      <c r="D589" s="63"/>
      <c r="E589" s="63"/>
      <c r="F589" s="63"/>
      <c r="G589" s="63"/>
      <c r="H589" s="3"/>
      <c r="I589" s="3"/>
      <c r="J589" s="3"/>
      <c r="K589" s="3"/>
    </row>
  </sheetData>
  <mergeCells count="128">
    <mergeCell ref="A585:B585"/>
    <mergeCell ref="C586:G586"/>
    <mergeCell ref="A588:B588"/>
    <mergeCell ref="C589:G589"/>
    <mergeCell ref="F585:G585"/>
    <mergeCell ref="F588:G588"/>
    <mergeCell ref="C579:H579"/>
    <mergeCell ref="I579:J579"/>
    <mergeCell ref="C580:H580"/>
    <mergeCell ref="I580:J580"/>
    <mergeCell ref="C581:H581"/>
    <mergeCell ref="I581:J581"/>
    <mergeCell ref="I568:J568"/>
    <mergeCell ref="I572:J572"/>
    <mergeCell ref="I574:J574"/>
    <mergeCell ref="A574:H574"/>
    <mergeCell ref="I577:J577"/>
    <mergeCell ref="A577:H577"/>
    <mergeCell ref="I545:J545"/>
    <mergeCell ref="I554:J554"/>
    <mergeCell ref="I556:J556"/>
    <mergeCell ref="A556:H556"/>
    <mergeCell ref="A559:K559"/>
    <mergeCell ref="I564:J564"/>
    <mergeCell ref="I491:J491"/>
    <mergeCell ref="I502:J502"/>
    <mergeCell ref="I513:J513"/>
    <mergeCell ref="I520:J520"/>
    <mergeCell ref="I528:J528"/>
    <mergeCell ref="I539:J539"/>
    <mergeCell ref="I440:J440"/>
    <mergeCell ref="I447:J447"/>
    <mergeCell ref="I455:J455"/>
    <mergeCell ref="I462:J462"/>
    <mergeCell ref="I473:J473"/>
    <mergeCell ref="I480:J480"/>
    <mergeCell ref="A377:K377"/>
    <mergeCell ref="I387:J387"/>
    <mergeCell ref="I397:J397"/>
    <mergeCell ref="I404:J404"/>
    <mergeCell ref="I417:J417"/>
    <mergeCell ref="I428:J428"/>
    <mergeCell ref="I360:J360"/>
    <mergeCell ref="I369:J369"/>
    <mergeCell ref="I371:J371"/>
    <mergeCell ref="A371:H371"/>
    <mergeCell ref="I374:J374"/>
    <mergeCell ref="A374:H374"/>
    <mergeCell ref="I298:J298"/>
    <mergeCell ref="I305:J305"/>
    <mergeCell ref="I316:J316"/>
    <mergeCell ref="I327:J327"/>
    <mergeCell ref="I338:J338"/>
    <mergeCell ref="I349:J349"/>
    <mergeCell ref="I258:J258"/>
    <mergeCell ref="A258:H258"/>
    <mergeCell ref="A261:K261"/>
    <mergeCell ref="I271:J271"/>
    <mergeCell ref="I281:J281"/>
    <mergeCell ref="I288:J288"/>
    <mergeCell ref="I210:J210"/>
    <mergeCell ref="I216:J216"/>
    <mergeCell ref="I227:J227"/>
    <mergeCell ref="I238:J238"/>
    <mergeCell ref="I245:J245"/>
    <mergeCell ref="I256:J256"/>
    <mergeCell ref="I141:J141"/>
    <mergeCell ref="I148:J148"/>
    <mergeCell ref="I159:J159"/>
    <mergeCell ref="I170:J170"/>
    <mergeCell ref="I184:J184"/>
    <mergeCell ref="I197:J197"/>
    <mergeCell ref="I100:J100"/>
    <mergeCell ref="A100:H100"/>
    <mergeCell ref="A103:K103"/>
    <mergeCell ref="I113:J113"/>
    <mergeCell ref="I123:J123"/>
    <mergeCell ref="I132:J132"/>
    <mergeCell ref="I53:J53"/>
    <mergeCell ref="I60:J60"/>
    <mergeCell ref="I68:J68"/>
    <mergeCell ref="I79:J79"/>
    <mergeCell ref="I90:J90"/>
    <mergeCell ref="I98:J98"/>
    <mergeCell ref="I28:I30"/>
    <mergeCell ref="J28:J30"/>
    <mergeCell ref="A33:K33"/>
    <mergeCell ref="A35:K35"/>
    <mergeCell ref="A37:K37"/>
    <mergeCell ref="I45:J45"/>
    <mergeCell ref="F26:H26"/>
    <mergeCell ref="I26:J26"/>
    <mergeCell ref="A28:A30"/>
    <mergeCell ref="B28:B30"/>
    <mergeCell ref="C28:C30"/>
    <mergeCell ref="D28:D30"/>
    <mergeCell ref="E28:E30"/>
    <mergeCell ref="F28:F30"/>
    <mergeCell ref="G28:G30"/>
    <mergeCell ref="H28:H30"/>
    <mergeCell ref="F23:H23"/>
    <mergeCell ref="I23:J23"/>
    <mergeCell ref="F24:H24"/>
    <mergeCell ref="I24:J24"/>
    <mergeCell ref="F25:H25"/>
    <mergeCell ref="I25:J25"/>
    <mergeCell ref="A16:K16"/>
    <mergeCell ref="A17:K17"/>
    <mergeCell ref="A19:K19"/>
    <mergeCell ref="F21:H21"/>
    <mergeCell ref="I21:J21"/>
    <mergeCell ref="F22:H22"/>
    <mergeCell ref="I22:J22"/>
    <mergeCell ref="B8:E8"/>
    <mergeCell ref="J2:K2"/>
    <mergeCell ref="A11:K11"/>
    <mergeCell ref="A12:K12"/>
    <mergeCell ref="A14:K14"/>
    <mergeCell ref="B3:E3"/>
    <mergeCell ref="B4:E4"/>
    <mergeCell ref="B6:E6"/>
    <mergeCell ref="G9:H9"/>
    <mergeCell ref="F3:I3"/>
    <mergeCell ref="F4:I4"/>
    <mergeCell ref="F5:I5"/>
    <mergeCell ref="F6:I6"/>
    <mergeCell ref="F7:I7"/>
    <mergeCell ref="F8:I8"/>
  </mergeCells>
  <pageMargins left="0.4" right="0.2" top="0.2" bottom="0.4" header="0.2" footer="0.2"/>
  <pageSetup paperSize="9" scale="64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83"/>
  <sheetViews>
    <sheetView zoomScaleNormal="100" workbookViewId="0">
      <selection activeCell="B8" sqref="B8"/>
    </sheetView>
  </sheetViews>
  <sheetFormatPr defaultRowHeight="13.2" x14ac:dyDescent="0.25"/>
  <cols>
    <col min="1" max="1" width="6.5546875" customWidth="1"/>
    <col min="2" max="2" width="75.5546875" customWidth="1"/>
    <col min="3" max="5" width="15.5546875" customWidth="1"/>
    <col min="30" max="30" width="114.5546875" hidden="1" customWidth="1"/>
    <col min="31" max="31" width="0" hidden="1" customWidth="1"/>
    <col min="32" max="32" width="129.5546875" hidden="1" customWidth="1"/>
  </cols>
  <sheetData>
    <row r="1" spans="1:30" x14ac:dyDescent="0.25">
      <c r="A1" s="1" t="s">
        <v>0</v>
      </c>
    </row>
    <row r="2" spans="1:30" ht="13.8" x14ac:dyDescent="0.25">
      <c r="C2" s="3"/>
      <c r="D2" s="3"/>
    </row>
    <row r="3" spans="1:30" ht="13.8" x14ac:dyDescent="0.25">
      <c r="C3" s="84" t="s">
        <v>287</v>
      </c>
      <c r="D3" s="84"/>
      <c r="E3" s="3"/>
    </row>
    <row r="4" spans="1:30" ht="13.8" x14ac:dyDescent="0.25">
      <c r="C4" s="50" t="s">
        <v>443</v>
      </c>
      <c r="D4" s="50"/>
      <c r="E4" s="50"/>
    </row>
    <row r="5" spans="1:30" ht="13.8" x14ac:dyDescent="0.25">
      <c r="C5" s="50" t="s">
        <v>439</v>
      </c>
      <c r="D5" s="50"/>
      <c r="E5" s="50"/>
    </row>
    <row r="6" spans="1:30" ht="13.8" x14ac:dyDescent="0.25">
      <c r="C6" s="50" t="s">
        <v>440</v>
      </c>
      <c r="D6" s="50"/>
      <c r="E6" s="50"/>
    </row>
    <row r="7" spans="1:30" ht="22.8" customHeight="1" x14ac:dyDescent="0.25">
      <c r="C7" s="50" t="s">
        <v>446</v>
      </c>
      <c r="D7" s="50"/>
      <c r="E7" s="50"/>
    </row>
    <row r="8" spans="1:30" ht="18" customHeight="1" x14ac:dyDescent="0.25">
      <c r="C8" s="43" t="s">
        <v>447</v>
      </c>
      <c r="D8" s="43"/>
      <c r="E8" s="43"/>
    </row>
    <row r="9" spans="1:30" ht="13.8" x14ac:dyDescent="0.25">
      <c r="C9" s="19"/>
      <c r="D9" s="3"/>
    </row>
    <row r="10" spans="1:30" ht="13.8" x14ac:dyDescent="0.25">
      <c r="A10" s="3"/>
      <c r="B10" s="3"/>
      <c r="C10" s="3"/>
      <c r="D10" s="3"/>
      <c r="E10" s="3"/>
    </row>
    <row r="11" spans="1:30" ht="15.6" x14ac:dyDescent="0.3">
      <c r="A11" s="70" t="s">
        <v>397</v>
      </c>
      <c r="B11" s="70"/>
      <c r="C11" s="70"/>
      <c r="D11" s="70"/>
      <c r="E11" s="3"/>
    </row>
    <row r="12" spans="1:30" ht="30" customHeight="1" x14ac:dyDescent="0.25">
      <c r="A12" s="68" t="s">
        <v>441</v>
      </c>
      <c r="B12" s="68"/>
      <c r="C12" s="68"/>
      <c r="D12" s="68"/>
      <c r="E12" s="68"/>
      <c r="AD12" s="26" t="s">
        <v>398</v>
      </c>
    </row>
    <row r="13" spans="1:30" ht="13.8" x14ac:dyDescent="0.25">
      <c r="A13" s="3"/>
      <c r="B13" s="3"/>
      <c r="C13" s="3"/>
      <c r="D13" s="3"/>
      <c r="E13" s="3"/>
    </row>
    <row r="14" spans="1:30" ht="13.8" x14ac:dyDescent="0.25">
      <c r="A14" s="3"/>
      <c r="B14" s="27" t="s">
        <v>329</v>
      </c>
      <c r="C14" s="3"/>
      <c r="D14" s="3"/>
      <c r="E14" s="3"/>
    </row>
    <row r="15" spans="1:30" ht="13.8" x14ac:dyDescent="0.25">
      <c r="A15" s="3"/>
      <c r="B15" s="27" t="s">
        <v>330</v>
      </c>
      <c r="C15" s="3"/>
      <c r="D15" s="3"/>
      <c r="E15" s="3"/>
    </row>
    <row r="16" spans="1:30" ht="13.8" x14ac:dyDescent="0.25">
      <c r="A16" s="3"/>
      <c r="B16" s="27" t="s">
        <v>331</v>
      </c>
      <c r="C16" s="3"/>
      <c r="D16" s="3"/>
      <c r="E16" s="3"/>
    </row>
    <row r="17" spans="1:32" ht="27.6" x14ac:dyDescent="0.25">
      <c r="A17" s="11" t="s">
        <v>332</v>
      </c>
      <c r="B17" s="11" t="s">
        <v>298</v>
      </c>
      <c r="C17" s="11" t="s">
        <v>299</v>
      </c>
      <c r="D17" s="11" t="s">
        <v>333</v>
      </c>
      <c r="E17" s="9" t="s">
        <v>334</v>
      </c>
    </row>
    <row r="18" spans="1:32" ht="13.8" x14ac:dyDescent="0.25">
      <c r="A18" s="29">
        <v>1</v>
      </c>
      <c r="B18" s="29">
        <v>2</v>
      </c>
      <c r="C18" s="29">
        <v>3</v>
      </c>
      <c r="D18" s="29">
        <v>4</v>
      </c>
      <c r="E18" s="29">
        <v>5</v>
      </c>
    </row>
    <row r="19" spans="1:32" ht="16.8" x14ac:dyDescent="0.3">
      <c r="A19" s="69" t="s">
        <v>390</v>
      </c>
      <c r="B19" s="69"/>
      <c r="C19" s="69"/>
      <c r="D19" s="69"/>
      <c r="E19" s="69"/>
      <c r="AF19" s="28" t="s">
        <v>390</v>
      </c>
    </row>
    <row r="20" spans="1:32" ht="16.8" x14ac:dyDescent="0.3">
      <c r="A20" s="69" t="s">
        <v>391</v>
      </c>
      <c r="B20" s="69"/>
      <c r="C20" s="69"/>
      <c r="D20" s="69"/>
      <c r="E20" s="69"/>
    </row>
    <row r="21" spans="1:32" ht="16.8" x14ac:dyDescent="0.3">
      <c r="A21" s="69" t="s">
        <v>392</v>
      </c>
      <c r="B21" s="69"/>
      <c r="C21" s="69"/>
      <c r="D21" s="69"/>
      <c r="E21" s="69"/>
    </row>
    <row r="22" spans="1:32" ht="27.6" x14ac:dyDescent="0.25">
      <c r="A22" s="34">
        <v>1</v>
      </c>
      <c r="B22" s="35" t="s">
        <v>3</v>
      </c>
      <c r="C22" s="36" t="s">
        <v>4</v>
      </c>
      <c r="D22" s="37">
        <v>15.2827</v>
      </c>
      <c r="E22" s="35"/>
    </row>
    <row r="23" spans="1:32" ht="41.4" x14ac:dyDescent="0.25">
      <c r="A23" s="34">
        <v>2</v>
      </c>
      <c r="B23" s="35" t="s">
        <v>6</v>
      </c>
      <c r="C23" s="36" t="s">
        <v>4</v>
      </c>
      <c r="D23" s="37">
        <v>3.8210000000000002</v>
      </c>
      <c r="E23" s="35"/>
    </row>
    <row r="24" spans="1:32" ht="27.6" x14ac:dyDescent="0.25">
      <c r="A24" s="34">
        <v>3</v>
      </c>
      <c r="B24" s="35" t="s">
        <v>8</v>
      </c>
      <c r="C24" s="36" t="s">
        <v>4</v>
      </c>
      <c r="D24" s="37">
        <v>9.7460000000000004</v>
      </c>
      <c r="E24" s="35"/>
    </row>
    <row r="25" spans="1:32" ht="41.4" x14ac:dyDescent="0.25">
      <c r="A25" s="34">
        <v>4</v>
      </c>
      <c r="B25" s="35" t="s">
        <v>10</v>
      </c>
      <c r="C25" s="36" t="s">
        <v>4</v>
      </c>
      <c r="D25" s="37">
        <v>3.8210999999999999</v>
      </c>
      <c r="E25" s="35"/>
    </row>
    <row r="26" spans="1:32" ht="13.8" x14ac:dyDescent="0.25">
      <c r="A26" s="34">
        <v>5</v>
      </c>
      <c r="B26" s="35" t="s">
        <v>12</v>
      </c>
      <c r="C26" s="36" t="s">
        <v>4</v>
      </c>
      <c r="D26" s="37">
        <v>13.567</v>
      </c>
      <c r="E26" s="35"/>
    </row>
    <row r="27" spans="1:32" ht="27.6" x14ac:dyDescent="0.25">
      <c r="A27" s="34">
        <v>6</v>
      </c>
      <c r="B27" s="35" t="s">
        <v>14</v>
      </c>
      <c r="C27" s="36" t="s">
        <v>4</v>
      </c>
      <c r="D27" s="37">
        <v>13.567</v>
      </c>
      <c r="E27" s="35"/>
    </row>
    <row r="28" spans="1:32" ht="27.6" x14ac:dyDescent="0.25">
      <c r="A28" s="34">
        <v>7</v>
      </c>
      <c r="B28" s="35" t="s">
        <v>16</v>
      </c>
      <c r="C28" s="36" t="s">
        <v>17</v>
      </c>
      <c r="D28" s="37">
        <v>1.24</v>
      </c>
      <c r="E28" s="35"/>
    </row>
    <row r="29" spans="1:32" ht="16.8" x14ac:dyDescent="0.3">
      <c r="A29" s="69" t="s">
        <v>393</v>
      </c>
      <c r="B29" s="69"/>
      <c r="C29" s="69"/>
      <c r="D29" s="69"/>
      <c r="E29" s="69"/>
    </row>
    <row r="30" spans="1:32" ht="13.8" x14ac:dyDescent="0.25">
      <c r="A30" s="34">
        <v>8</v>
      </c>
      <c r="B30" s="35" t="s">
        <v>18</v>
      </c>
      <c r="C30" s="36" t="s">
        <v>4</v>
      </c>
      <c r="D30" s="37">
        <v>9.5000000000000001E-2</v>
      </c>
      <c r="E30" s="35"/>
    </row>
    <row r="31" spans="1:32" ht="13.8" x14ac:dyDescent="0.25">
      <c r="A31" s="34">
        <v>9</v>
      </c>
      <c r="B31" s="35" t="s">
        <v>21</v>
      </c>
      <c r="C31" s="36" t="s">
        <v>4</v>
      </c>
      <c r="D31" s="37">
        <v>7.0999999999999994E-2</v>
      </c>
      <c r="E31" s="35"/>
    </row>
    <row r="32" spans="1:32" ht="13.8" x14ac:dyDescent="0.25">
      <c r="A32" s="34">
        <v>10</v>
      </c>
      <c r="B32" s="35" t="s">
        <v>23</v>
      </c>
      <c r="C32" s="36" t="s">
        <v>24</v>
      </c>
      <c r="D32" s="37">
        <v>0.3</v>
      </c>
      <c r="E32" s="35"/>
    </row>
    <row r="33" spans="1:5" ht="13.8" x14ac:dyDescent="0.25">
      <c r="A33" s="34">
        <v>11</v>
      </c>
      <c r="B33" s="35" t="s">
        <v>26</v>
      </c>
      <c r="C33" s="36" t="s">
        <v>27</v>
      </c>
      <c r="D33" s="37">
        <v>3.0000000000000001E-3</v>
      </c>
      <c r="E33" s="35"/>
    </row>
    <row r="34" spans="1:5" ht="13.8" x14ac:dyDescent="0.25">
      <c r="A34" s="34">
        <v>12</v>
      </c>
      <c r="B34" s="35" t="s">
        <v>29</v>
      </c>
      <c r="C34" s="36" t="s">
        <v>30</v>
      </c>
      <c r="D34" s="37">
        <v>2.3999999999999998E-3</v>
      </c>
      <c r="E34" s="35"/>
    </row>
    <row r="35" spans="1:5" ht="13.8" x14ac:dyDescent="0.25">
      <c r="A35" s="34">
        <v>13</v>
      </c>
      <c r="B35" s="35" t="s">
        <v>32</v>
      </c>
      <c r="C35" s="36" t="s">
        <v>4</v>
      </c>
      <c r="D35" s="37">
        <v>7.0999999999999994E-2</v>
      </c>
      <c r="E35" s="35"/>
    </row>
    <row r="36" spans="1:5" ht="27.6" x14ac:dyDescent="0.25">
      <c r="A36" s="34">
        <v>14</v>
      </c>
      <c r="B36" s="35" t="s">
        <v>34</v>
      </c>
      <c r="C36" s="36" t="s">
        <v>4</v>
      </c>
      <c r="D36" s="37">
        <v>7.0999999999999994E-2</v>
      </c>
      <c r="E36" s="35"/>
    </row>
    <row r="37" spans="1:5" ht="55.2" x14ac:dyDescent="0.25">
      <c r="A37" s="34">
        <v>15</v>
      </c>
      <c r="B37" s="35" t="s">
        <v>37</v>
      </c>
      <c r="C37" s="36" t="s">
        <v>4</v>
      </c>
      <c r="D37" s="37">
        <v>7.0999999999999994E-2</v>
      </c>
      <c r="E37" s="35"/>
    </row>
    <row r="38" spans="1:5" ht="55.2" x14ac:dyDescent="0.25">
      <c r="A38" s="34">
        <v>16</v>
      </c>
      <c r="B38" s="35" t="s">
        <v>48</v>
      </c>
      <c r="C38" s="36" t="s">
        <v>4</v>
      </c>
      <c r="D38" s="37">
        <v>1.2E-2</v>
      </c>
      <c r="E38" s="35"/>
    </row>
    <row r="39" spans="1:5" ht="41.4" x14ac:dyDescent="0.25">
      <c r="A39" s="34">
        <v>17</v>
      </c>
      <c r="B39" s="35" t="s">
        <v>52</v>
      </c>
      <c r="C39" s="36" t="s">
        <v>4</v>
      </c>
      <c r="D39" s="37">
        <v>1.2E-2</v>
      </c>
      <c r="E39" s="35"/>
    </row>
    <row r="40" spans="1:5" ht="13.8" x14ac:dyDescent="0.25">
      <c r="A40" s="34">
        <v>18</v>
      </c>
      <c r="B40" s="35" t="s">
        <v>58</v>
      </c>
      <c r="C40" s="36" t="s">
        <v>41</v>
      </c>
      <c r="D40" s="37">
        <v>1.8</v>
      </c>
      <c r="E40" s="35"/>
    </row>
    <row r="41" spans="1:5" ht="27.6" x14ac:dyDescent="0.25">
      <c r="A41" s="34">
        <v>19</v>
      </c>
      <c r="B41" s="35" t="s">
        <v>60</v>
      </c>
      <c r="C41" s="36" t="s">
        <v>4</v>
      </c>
      <c r="D41" s="37">
        <v>1.7999999999999999E-2</v>
      </c>
      <c r="E41" s="35"/>
    </row>
    <row r="42" spans="1:5" ht="27.6" x14ac:dyDescent="0.25">
      <c r="A42" s="34">
        <v>20</v>
      </c>
      <c r="B42" s="35" t="s">
        <v>62</v>
      </c>
      <c r="C42" s="36" t="s">
        <v>4</v>
      </c>
      <c r="D42" s="37">
        <v>1.7999999999999999E-2</v>
      </c>
      <c r="E42" s="35"/>
    </row>
    <row r="43" spans="1:5" ht="13.8" x14ac:dyDescent="0.25">
      <c r="A43" s="34">
        <v>21</v>
      </c>
      <c r="B43" s="35" t="s">
        <v>64</v>
      </c>
      <c r="C43" s="36" t="s">
        <v>4</v>
      </c>
      <c r="D43" s="37">
        <v>9.1999999999999998E-2</v>
      </c>
      <c r="E43" s="35"/>
    </row>
    <row r="44" spans="1:5" ht="13.8" x14ac:dyDescent="0.25">
      <c r="A44" s="34">
        <v>22</v>
      </c>
      <c r="B44" s="35" t="s">
        <v>66</v>
      </c>
      <c r="C44" s="36" t="s">
        <v>4</v>
      </c>
      <c r="D44" s="37">
        <v>9.1999999999999998E-2</v>
      </c>
      <c r="E44" s="35"/>
    </row>
    <row r="45" spans="1:5" ht="16.8" x14ac:dyDescent="0.3">
      <c r="A45" s="69" t="s">
        <v>394</v>
      </c>
      <c r="B45" s="69"/>
      <c r="C45" s="69"/>
      <c r="D45" s="69"/>
      <c r="E45" s="69"/>
    </row>
    <row r="46" spans="1:5" ht="13.8" x14ac:dyDescent="0.25">
      <c r="A46" s="34">
        <v>23</v>
      </c>
      <c r="B46" s="35" t="s">
        <v>18</v>
      </c>
      <c r="C46" s="36" t="s">
        <v>4</v>
      </c>
      <c r="D46" s="37">
        <v>0.26</v>
      </c>
      <c r="E46" s="35"/>
    </row>
    <row r="47" spans="1:5" ht="13.8" x14ac:dyDescent="0.25">
      <c r="A47" s="34">
        <v>24</v>
      </c>
      <c r="B47" s="35" t="s">
        <v>21</v>
      </c>
      <c r="C47" s="36" t="s">
        <v>4</v>
      </c>
      <c r="D47" s="37">
        <v>0.26</v>
      </c>
      <c r="E47" s="35"/>
    </row>
    <row r="48" spans="1:5" ht="13.8" x14ac:dyDescent="0.25">
      <c r="A48" s="34">
        <v>25</v>
      </c>
      <c r="B48" s="35" t="s">
        <v>68</v>
      </c>
      <c r="C48" s="36" t="s">
        <v>17</v>
      </c>
      <c r="D48" s="37">
        <v>0.313</v>
      </c>
      <c r="E48" s="35"/>
    </row>
    <row r="49" spans="1:5" ht="55.2" x14ac:dyDescent="0.25">
      <c r="A49" s="34">
        <v>26</v>
      </c>
      <c r="B49" s="35" t="s">
        <v>70</v>
      </c>
      <c r="C49" s="36" t="s">
        <v>4</v>
      </c>
      <c r="D49" s="37">
        <v>0.14599999999999999</v>
      </c>
      <c r="E49" s="35"/>
    </row>
    <row r="50" spans="1:5" ht="27.6" x14ac:dyDescent="0.25">
      <c r="A50" s="34">
        <v>27</v>
      </c>
      <c r="B50" s="35" t="s">
        <v>72</v>
      </c>
      <c r="C50" s="36" t="s">
        <v>4</v>
      </c>
      <c r="D50" s="37">
        <v>0.14599999999999999</v>
      </c>
      <c r="E50" s="35"/>
    </row>
    <row r="51" spans="1:5" ht="13.8" x14ac:dyDescent="0.25">
      <c r="A51" s="34">
        <v>28</v>
      </c>
      <c r="B51" s="35" t="s">
        <v>32</v>
      </c>
      <c r="C51" s="36" t="s">
        <v>4</v>
      </c>
      <c r="D51" s="37">
        <v>0.26</v>
      </c>
      <c r="E51" s="35"/>
    </row>
    <row r="52" spans="1:5" ht="27.6" x14ac:dyDescent="0.25">
      <c r="A52" s="34">
        <v>29</v>
      </c>
      <c r="B52" s="35" t="s">
        <v>34</v>
      </c>
      <c r="C52" s="36" t="s">
        <v>4</v>
      </c>
      <c r="D52" s="37">
        <v>0.26</v>
      </c>
      <c r="E52" s="35"/>
    </row>
    <row r="53" spans="1:5" ht="27.6" x14ac:dyDescent="0.25">
      <c r="A53" s="34">
        <v>30</v>
      </c>
      <c r="B53" s="35" t="s">
        <v>74</v>
      </c>
      <c r="C53" s="36" t="s">
        <v>4</v>
      </c>
      <c r="D53" s="37">
        <v>0.26</v>
      </c>
      <c r="E53" s="35"/>
    </row>
    <row r="54" spans="1:5" ht="27.6" x14ac:dyDescent="0.25">
      <c r="A54" s="34">
        <v>31</v>
      </c>
      <c r="B54" s="35" t="s">
        <v>76</v>
      </c>
      <c r="C54" s="36" t="s">
        <v>4</v>
      </c>
      <c r="D54" s="37">
        <v>0.14599999999999999</v>
      </c>
      <c r="E54" s="35"/>
    </row>
    <row r="55" spans="1:5" ht="41.4" x14ac:dyDescent="0.25">
      <c r="A55" s="34">
        <v>32</v>
      </c>
      <c r="B55" s="35" t="s">
        <v>52</v>
      </c>
      <c r="C55" s="36" t="s">
        <v>4</v>
      </c>
      <c r="D55" s="37">
        <v>0.14599999999999999</v>
      </c>
      <c r="E55" s="35"/>
    </row>
    <row r="56" spans="1:5" ht="13.8" x14ac:dyDescent="0.25">
      <c r="A56" s="34">
        <v>33</v>
      </c>
      <c r="B56" s="35" t="s">
        <v>77</v>
      </c>
      <c r="C56" s="36" t="s">
        <v>17</v>
      </c>
      <c r="D56" s="37">
        <v>0.313</v>
      </c>
      <c r="E56" s="35"/>
    </row>
    <row r="57" spans="1:5" ht="16.8" x14ac:dyDescent="0.3">
      <c r="A57" s="69" t="s">
        <v>395</v>
      </c>
      <c r="B57" s="69"/>
      <c r="C57" s="69"/>
      <c r="D57" s="69"/>
      <c r="E57" s="69"/>
    </row>
    <row r="58" spans="1:5" ht="41.4" x14ac:dyDescent="0.25">
      <c r="A58" s="34">
        <v>34</v>
      </c>
      <c r="B58" s="35" t="s">
        <v>82</v>
      </c>
      <c r="C58" s="36" t="s">
        <v>4</v>
      </c>
      <c r="D58" s="37">
        <v>0.96299999999999997</v>
      </c>
      <c r="E58" s="35"/>
    </row>
    <row r="59" spans="1:5" ht="41.4" x14ac:dyDescent="0.25">
      <c r="A59" s="34">
        <v>35</v>
      </c>
      <c r="B59" s="35" t="s">
        <v>84</v>
      </c>
      <c r="C59" s="36" t="s">
        <v>4</v>
      </c>
      <c r="D59" s="37">
        <v>0.308</v>
      </c>
      <c r="E59" s="35"/>
    </row>
    <row r="60" spans="1:5" ht="13.8" x14ac:dyDescent="0.25">
      <c r="A60" s="34">
        <v>36</v>
      </c>
      <c r="B60" s="35" t="s">
        <v>86</v>
      </c>
      <c r="C60" s="36" t="s">
        <v>27</v>
      </c>
      <c r="D60" s="37">
        <v>9.6299999999999997E-2</v>
      </c>
      <c r="E60" s="35"/>
    </row>
    <row r="61" spans="1:5" ht="41.4" x14ac:dyDescent="0.25">
      <c r="A61" s="34">
        <v>37</v>
      </c>
      <c r="B61" s="35" t="s">
        <v>87</v>
      </c>
      <c r="C61" s="36" t="s">
        <v>4</v>
      </c>
      <c r="D61" s="37">
        <v>0.96299999999999997</v>
      </c>
      <c r="E61" s="35"/>
    </row>
    <row r="62" spans="1:5" ht="41.4" x14ac:dyDescent="0.25">
      <c r="A62" s="34">
        <v>38</v>
      </c>
      <c r="B62" s="35" t="s">
        <v>96</v>
      </c>
      <c r="C62" s="36" t="s">
        <v>4</v>
      </c>
      <c r="D62" s="37">
        <v>0.96299999999999997</v>
      </c>
      <c r="E62" s="35"/>
    </row>
    <row r="63" spans="1:5" ht="41.4" x14ac:dyDescent="0.25">
      <c r="A63" s="34">
        <v>39</v>
      </c>
      <c r="B63" s="35" t="s">
        <v>97</v>
      </c>
      <c r="C63" s="36" t="s">
        <v>4</v>
      </c>
      <c r="D63" s="37">
        <v>0.308</v>
      </c>
      <c r="E63" s="35"/>
    </row>
    <row r="64" spans="1:5" ht="27.6" x14ac:dyDescent="0.25">
      <c r="A64" s="34">
        <v>40</v>
      </c>
      <c r="B64" s="35" t="s">
        <v>72</v>
      </c>
      <c r="C64" s="36" t="s">
        <v>4</v>
      </c>
      <c r="D64" s="37">
        <v>0.36</v>
      </c>
      <c r="E64" s="35"/>
    </row>
    <row r="65" spans="1:5" ht="27.6" x14ac:dyDescent="0.25">
      <c r="A65" s="34">
        <v>41</v>
      </c>
      <c r="B65" s="35" t="s">
        <v>102</v>
      </c>
      <c r="C65" s="36" t="s">
        <v>4</v>
      </c>
      <c r="D65" s="37">
        <v>0.36</v>
      </c>
      <c r="E65" s="35"/>
    </row>
    <row r="66" spans="1:5" ht="13.8" x14ac:dyDescent="0.25">
      <c r="A66" s="34">
        <v>42</v>
      </c>
      <c r="B66" s="35" t="s">
        <v>104</v>
      </c>
      <c r="C66" s="36" t="s">
        <v>24</v>
      </c>
      <c r="D66" s="37">
        <v>0.5</v>
      </c>
      <c r="E66" s="35"/>
    </row>
    <row r="67" spans="1:5" ht="13.8" x14ac:dyDescent="0.25">
      <c r="A67" s="34">
        <v>43</v>
      </c>
      <c r="B67" s="35" t="s">
        <v>12</v>
      </c>
      <c r="C67" s="36" t="s">
        <v>4</v>
      </c>
      <c r="D67" s="37">
        <v>0.36</v>
      </c>
      <c r="E67" s="35"/>
    </row>
    <row r="68" spans="1:5" ht="13.8" x14ac:dyDescent="0.25">
      <c r="A68" s="34">
        <v>44</v>
      </c>
      <c r="B68" s="35" t="s">
        <v>106</v>
      </c>
      <c r="C68" s="36" t="s">
        <v>4</v>
      </c>
      <c r="D68" s="37">
        <v>6.3E-2</v>
      </c>
      <c r="E68" s="35"/>
    </row>
    <row r="69" spans="1:5" ht="41.4" x14ac:dyDescent="0.25">
      <c r="A69" s="34">
        <v>45</v>
      </c>
      <c r="B69" s="35" t="s">
        <v>108</v>
      </c>
      <c r="C69" s="36" t="s">
        <v>4</v>
      </c>
      <c r="D69" s="37">
        <v>6.3E-2</v>
      </c>
      <c r="E69" s="35"/>
    </row>
    <row r="70" spans="1:5" ht="13.8" x14ac:dyDescent="0.25">
      <c r="A70" s="34">
        <v>46</v>
      </c>
      <c r="B70" s="35" t="s">
        <v>12</v>
      </c>
      <c r="C70" s="36" t="s">
        <v>4</v>
      </c>
      <c r="D70" s="37">
        <v>8.2000000000000007E-3</v>
      </c>
      <c r="E70" s="35"/>
    </row>
    <row r="71" spans="1:5" ht="27.6" x14ac:dyDescent="0.25">
      <c r="A71" s="34">
        <v>47</v>
      </c>
      <c r="B71" s="35" t="s">
        <v>14</v>
      </c>
      <c r="C71" s="36" t="s">
        <v>4</v>
      </c>
      <c r="D71" s="37">
        <v>0.6</v>
      </c>
      <c r="E71" s="35"/>
    </row>
    <row r="72" spans="1:5" ht="13.8" x14ac:dyDescent="0.25">
      <c r="A72" s="34">
        <v>48</v>
      </c>
      <c r="B72" s="35" t="s">
        <v>64</v>
      </c>
      <c r="C72" s="36" t="s">
        <v>4</v>
      </c>
      <c r="D72" s="37">
        <v>0.22</v>
      </c>
      <c r="E72" s="35"/>
    </row>
    <row r="73" spans="1:5" ht="13.8" x14ac:dyDescent="0.25">
      <c r="A73" s="34">
        <v>49</v>
      </c>
      <c r="B73" s="35" t="s">
        <v>110</v>
      </c>
      <c r="C73" s="36" t="s">
        <v>4</v>
      </c>
      <c r="D73" s="37">
        <v>0.22</v>
      </c>
      <c r="E73" s="35"/>
    </row>
    <row r="74" spans="1:5" ht="13.8" x14ac:dyDescent="0.25">
      <c r="A74" s="34">
        <v>50</v>
      </c>
      <c r="B74" s="35" t="s">
        <v>66</v>
      </c>
      <c r="C74" s="36" t="s">
        <v>4</v>
      </c>
      <c r="D74" s="37">
        <v>0.22</v>
      </c>
      <c r="E74" s="35"/>
    </row>
    <row r="75" spans="1:5" ht="13.8" x14ac:dyDescent="0.25">
      <c r="A75" s="34">
        <v>51</v>
      </c>
      <c r="B75" s="35" t="s">
        <v>58</v>
      </c>
      <c r="C75" s="36" t="s">
        <v>41</v>
      </c>
      <c r="D75" s="37">
        <v>6.8</v>
      </c>
      <c r="E75" s="35"/>
    </row>
    <row r="76" spans="1:5" ht="27.6" x14ac:dyDescent="0.25">
      <c r="A76" s="34">
        <v>52</v>
      </c>
      <c r="B76" s="35" t="s">
        <v>112</v>
      </c>
      <c r="C76" s="36" t="s">
        <v>4</v>
      </c>
      <c r="D76" s="37">
        <v>6.8000000000000005E-2</v>
      </c>
      <c r="E76" s="35"/>
    </row>
    <row r="77" spans="1:5" ht="16.8" x14ac:dyDescent="0.3">
      <c r="A77" s="69" t="s">
        <v>396</v>
      </c>
      <c r="B77" s="69"/>
      <c r="C77" s="69"/>
      <c r="D77" s="69"/>
      <c r="E77" s="69"/>
    </row>
    <row r="78" spans="1:5" ht="13.8" x14ac:dyDescent="0.25">
      <c r="A78" s="34">
        <v>53</v>
      </c>
      <c r="B78" s="35" t="s">
        <v>115</v>
      </c>
      <c r="C78" s="36" t="s">
        <v>30</v>
      </c>
      <c r="D78" s="37">
        <v>29.94</v>
      </c>
      <c r="E78" s="35"/>
    </row>
    <row r="79" spans="1:5" ht="27.6" x14ac:dyDescent="0.25">
      <c r="A79" s="34">
        <v>54</v>
      </c>
      <c r="B79" s="35" t="s">
        <v>117</v>
      </c>
      <c r="C79" s="36" t="s">
        <v>30</v>
      </c>
      <c r="D79" s="37">
        <v>29.94</v>
      </c>
      <c r="E79" s="35"/>
    </row>
    <row r="80" spans="1:5" ht="27.6" x14ac:dyDescent="0.25">
      <c r="A80" s="30">
        <v>55</v>
      </c>
      <c r="B80" s="31" t="s">
        <v>119</v>
      </c>
      <c r="C80" s="32" t="s">
        <v>30</v>
      </c>
      <c r="D80" s="33">
        <v>29.94</v>
      </c>
      <c r="E80" s="31"/>
    </row>
    <row r="83" spans="1:5" ht="13.8" x14ac:dyDescent="0.25">
      <c r="A83" s="85" t="s">
        <v>448</v>
      </c>
      <c r="B83" s="23"/>
      <c r="C83" s="23"/>
      <c r="D83" s="23"/>
      <c r="E83" s="23"/>
    </row>
  </sheetData>
  <mergeCells count="15">
    <mergeCell ref="A21:E21"/>
    <mergeCell ref="A29:E29"/>
    <mergeCell ref="A45:E45"/>
    <mergeCell ref="A57:E57"/>
    <mergeCell ref="A77:E77"/>
    <mergeCell ref="C3:D3"/>
    <mergeCell ref="A12:E12"/>
    <mergeCell ref="A20:E20"/>
    <mergeCell ref="A11:D11"/>
    <mergeCell ref="A19:E19"/>
    <mergeCell ref="C4:E4"/>
    <mergeCell ref="C5:E5"/>
    <mergeCell ref="C6:E6"/>
    <mergeCell ref="C7:E7"/>
    <mergeCell ref="C8:E8"/>
  </mergeCells>
  <pageMargins left="0.4" right="0.2" top="0.2" bottom="0.4" header="0.2" footer="0.2"/>
  <pageSetup paperSize="9" scale="77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2"/>
  <sheetViews>
    <sheetView workbookViewId="0"/>
  </sheetViews>
  <sheetFormatPr defaultRowHeight="13.2" x14ac:dyDescent="0.25"/>
  <sheetData>
    <row r="1" spans="1:28" x14ac:dyDescent="0.25">
      <c r="A1" t="s">
        <v>363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372</v>
      </c>
      <c r="J1" t="s">
        <v>373</v>
      </c>
      <c r="K1" t="s">
        <v>374</v>
      </c>
      <c r="L1" t="s">
        <v>375</v>
      </c>
      <c r="M1" t="s">
        <v>376</v>
      </c>
      <c r="N1" t="s">
        <v>377</v>
      </c>
      <c r="O1" t="s">
        <v>364</v>
      </c>
    </row>
    <row r="2" spans="1:28" x14ac:dyDescent="0.25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53263435</v>
      </c>
      <c r="M2">
        <v>0</v>
      </c>
      <c r="N2">
        <v>0</v>
      </c>
      <c r="O2">
        <v>0</v>
      </c>
    </row>
    <row r="4" spans="1:28" x14ac:dyDescent="0.25">
      <c r="A4" t="s">
        <v>335</v>
      </c>
      <c r="B4" t="s">
        <v>336</v>
      </c>
      <c r="C4" t="s">
        <v>337</v>
      </c>
      <c r="D4" t="s">
        <v>338</v>
      </c>
      <c r="E4" t="s">
        <v>339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K4" t="s">
        <v>345</v>
      </c>
      <c r="L4" t="s">
        <v>346</v>
      </c>
      <c r="M4" t="s">
        <v>347</v>
      </c>
      <c r="N4" t="s">
        <v>348</v>
      </c>
      <c r="O4" t="s">
        <v>349</v>
      </c>
      <c r="P4" t="s">
        <v>350</v>
      </c>
      <c r="Q4" t="s">
        <v>351</v>
      </c>
      <c r="R4" t="s">
        <v>352</v>
      </c>
      <c r="S4" t="s">
        <v>353</v>
      </c>
      <c r="T4" t="s">
        <v>354</v>
      </c>
      <c r="U4" t="s">
        <v>358</v>
      </c>
      <c r="V4" t="s">
        <v>359</v>
      </c>
      <c r="W4" t="s">
        <v>360</v>
      </c>
      <c r="X4" t="s">
        <v>361</v>
      </c>
      <c r="Y4" t="s">
        <v>362</v>
      </c>
      <c r="Z4" t="s">
        <v>355</v>
      </c>
      <c r="AA4" t="s">
        <v>356</v>
      </c>
      <c r="AB4" t="s">
        <v>357</v>
      </c>
    </row>
    <row r="6" spans="1:28" x14ac:dyDescent="0.25">
      <c r="A6" t="e">
        <f>#REF!</f>
        <v>#REF!</v>
      </c>
      <c r="B6">
        <v>20</v>
      </c>
      <c r="G6" t="e">
        <f>#REF!</f>
        <v>#REF!</v>
      </c>
    </row>
    <row r="7" spans="1:28" x14ac:dyDescent="0.25">
      <c r="A7" t="e">
        <f>#REF!</f>
        <v>#REF!</v>
      </c>
      <c r="B7">
        <v>24</v>
      </c>
      <c r="G7" t="e">
        <f>#REF!</f>
        <v>#REF!</v>
      </c>
    </row>
    <row r="8" spans="1:28" x14ac:dyDescent="0.25">
      <c r="A8" t="e">
        <f>#REF!</f>
        <v>#REF!</v>
      </c>
      <c r="B8">
        <v>28</v>
      </c>
      <c r="G8" t="e">
        <f>#REF!</f>
        <v>#REF!</v>
      </c>
    </row>
    <row r="9" spans="1:28" x14ac:dyDescent="0.25">
      <c r="A9">
        <v>20</v>
      </c>
      <c r="B9">
        <v>3</v>
      </c>
      <c r="C9">
        <v>3</v>
      </c>
      <c r="D9">
        <v>0</v>
      </c>
      <c r="E9" t="e">
        <f>#REF!</f>
        <v>#REF!</v>
      </c>
      <c r="F9" t="e">
        <f>#REF!</f>
        <v>#REF!</v>
      </c>
      <c r="G9" t="e">
        <f>#REF!</f>
        <v>#REF!</v>
      </c>
      <c r="H9" t="e">
        <f>#REF!</f>
        <v>#REF!</v>
      </c>
      <c r="I9" t="e">
        <f>#REF!*#REF!</f>
        <v>#REF!</v>
      </c>
      <c r="J9" t="e">
        <f>#REF!</f>
        <v>#REF!</v>
      </c>
      <c r="K9" t="e">
        <f>#REF!</f>
        <v>#REF!</v>
      </c>
      <c r="L9" t="e">
        <f>#REF!</f>
        <v>#REF!</v>
      </c>
      <c r="M9" t="e">
        <f>ROUND(ROUND(L9*#REF!, 6)*1, 2)</f>
        <v>#REF!</v>
      </c>
      <c r="N9" t="e">
        <f>#REF!</f>
        <v>#REF!</v>
      </c>
      <c r="O9" t="e">
        <f>ROUND(ROUND(L9*#REF!, 6)*#REF!, 2)</f>
        <v>#REF!</v>
      </c>
      <c r="P9" t="e">
        <f>#REF!</f>
        <v>#REF!</v>
      </c>
      <c r="Q9" t="e">
        <f>#REF!</f>
        <v>#REF!</v>
      </c>
      <c r="R9" t="e">
        <f>ROUND(ROUND(Q9*#REF!, 6)*1, 2)</f>
        <v>#REF!</v>
      </c>
      <c r="S9" t="e">
        <f>#REF!</f>
        <v>#REF!</v>
      </c>
      <c r="T9" t="e">
        <f>ROUND(ROUND(Q9*#REF!, 6)*#REF!, 2)</f>
        <v>#REF!</v>
      </c>
      <c r="U9">
        <v>3</v>
      </c>
      <c r="Z9" t="e">
        <f>#REF!</f>
        <v>#REF!</v>
      </c>
      <c r="AA9">
        <v>1430151090</v>
      </c>
      <c r="AB9">
        <v>1430151090</v>
      </c>
    </row>
    <row r="10" spans="1:28" x14ac:dyDescent="0.25">
      <c r="A10">
        <v>20</v>
      </c>
      <c r="B10">
        <v>2</v>
      </c>
      <c r="C10">
        <v>3</v>
      </c>
      <c r="D10">
        <v>0</v>
      </c>
      <c r="E10" t="e">
        <f>#REF!</f>
        <v>#REF!</v>
      </c>
      <c r="F10" t="e">
        <f>#REF!</f>
        <v>#REF!</v>
      </c>
      <c r="G10" t="e">
        <f>#REF!</f>
        <v>#REF!</v>
      </c>
      <c r="H10" t="e">
        <f>#REF!</f>
        <v>#REF!</v>
      </c>
      <c r="I10" t="e">
        <f>#REF!*#REF!</f>
        <v>#REF!</v>
      </c>
      <c r="J10" t="e">
        <f>#REF!</f>
        <v>#REF!</v>
      </c>
      <c r="K10" t="e">
        <f>#REF!</f>
        <v>#REF!</v>
      </c>
      <c r="L10" t="e">
        <f>#REF!</f>
        <v>#REF!</v>
      </c>
      <c r="M10" t="e">
        <f>ROUND(ROUND(L10*#REF!, 6)*1, 2)</f>
        <v>#REF!</v>
      </c>
      <c r="N10" t="e">
        <f>#REF!</f>
        <v>#REF!</v>
      </c>
      <c r="O10" t="e">
        <f>ROUND(ROUND(L10*#REF!, 6)*#REF!, 2)</f>
        <v>#REF!</v>
      </c>
      <c r="P10" t="e">
        <f>#REF!</f>
        <v>#REF!</v>
      </c>
      <c r="Q10" t="e">
        <f>#REF!</f>
        <v>#REF!</v>
      </c>
      <c r="R10" t="e">
        <f>ROUND(ROUND(Q10*#REF!, 6)*1, 2)</f>
        <v>#REF!</v>
      </c>
      <c r="S10" t="e">
        <f>#REF!</f>
        <v>#REF!</v>
      </c>
      <c r="T10" t="e">
        <f>ROUND(ROUND(Q10*#REF!, 6)*#REF!, 2)</f>
        <v>#REF!</v>
      </c>
      <c r="U10">
        <v>3</v>
      </c>
      <c r="Z10" t="e">
        <f>#REF!</f>
        <v>#REF!</v>
      </c>
      <c r="AA10">
        <v>712082687</v>
      </c>
      <c r="AB10">
        <v>712082687</v>
      </c>
    </row>
    <row r="11" spans="1:28" x14ac:dyDescent="0.25">
      <c r="A11">
        <v>20</v>
      </c>
      <c r="B11">
        <v>5</v>
      </c>
      <c r="C11">
        <v>3</v>
      </c>
      <c r="D11">
        <v>0</v>
      </c>
      <c r="E11" t="e">
        <f>#REF!</f>
        <v>#REF!</v>
      </c>
      <c r="F11" t="e">
        <f>#REF!</f>
        <v>#REF!</v>
      </c>
      <c r="G11" t="e">
        <f>#REF!</f>
        <v>#REF!</v>
      </c>
      <c r="H11" t="e">
        <f>#REF!</f>
        <v>#REF!</v>
      </c>
      <c r="I11" t="e">
        <f>#REF!*#REF!</f>
        <v>#REF!</v>
      </c>
      <c r="J11" t="e">
        <f>#REF!</f>
        <v>#REF!</v>
      </c>
      <c r="K11" t="e">
        <f>#REF!</f>
        <v>#REF!</v>
      </c>
      <c r="L11" t="e">
        <f>#REF!</f>
        <v>#REF!</v>
      </c>
      <c r="M11" t="e">
        <f>ROUND(ROUND(L11*#REF!, 6)*1, 2)</f>
        <v>#REF!</v>
      </c>
      <c r="N11" t="e">
        <f>#REF!</f>
        <v>#REF!</v>
      </c>
      <c r="O11" t="e">
        <f>ROUND(ROUND(L11*#REF!, 6)*#REF!, 2)</f>
        <v>#REF!</v>
      </c>
      <c r="P11" t="e">
        <f>#REF!</f>
        <v>#REF!</v>
      </c>
      <c r="Q11" t="e">
        <f>#REF!</f>
        <v>#REF!</v>
      </c>
      <c r="R11" t="e">
        <f>ROUND(ROUND(Q11*#REF!, 6)*1, 2)</f>
        <v>#REF!</v>
      </c>
      <c r="S11" t="e">
        <f>#REF!</f>
        <v>#REF!</v>
      </c>
      <c r="T11" t="e">
        <f>ROUND(ROUND(Q11*#REF!, 6)*#REF!, 2)</f>
        <v>#REF!</v>
      </c>
      <c r="U11">
        <v>3</v>
      </c>
      <c r="Z11" t="e">
        <f>#REF!</f>
        <v>#REF!</v>
      </c>
      <c r="AA11">
        <v>714169385</v>
      </c>
      <c r="AB11">
        <v>714169385</v>
      </c>
    </row>
    <row r="12" spans="1:28" x14ac:dyDescent="0.25">
      <c r="A12">
        <v>20</v>
      </c>
      <c r="B12">
        <v>10</v>
      </c>
      <c r="C12">
        <v>3</v>
      </c>
      <c r="D12">
        <v>0</v>
      </c>
      <c r="E12" t="e">
        <f>#REF!</f>
        <v>#REF!</v>
      </c>
      <c r="F12" t="e">
        <f>#REF!</f>
        <v>#REF!</v>
      </c>
      <c r="G12" t="e">
        <f>#REF!</f>
        <v>#REF!</v>
      </c>
      <c r="H12" t="e">
        <f>#REF!</f>
        <v>#REF!</v>
      </c>
      <c r="I12" t="e">
        <f>#REF!*#REF!</f>
        <v>#REF!</v>
      </c>
      <c r="J12" t="e">
        <f>#REF!</f>
        <v>#REF!</v>
      </c>
      <c r="K12" t="e">
        <f>#REF!</f>
        <v>#REF!</v>
      </c>
      <c r="L12" t="e">
        <f>#REF!</f>
        <v>#REF!</v>
      </c>
      <c r="M12" t="e">
        <f>ROUND(ROUND(L12*#REF!, 6)*1, 2)</f>
        <v>#REF!</v>
      </c>
      <c r="N12" t="e">
        <f>#REF!</f>
        <v>#REF!</v>
      </c>
      <c r="O12" t="e">
        <f>ROUND(ROUND(L12*#REF!, 6)*#REF!, 2)</f>
        <v>#REF!</v>
      </c>
      <c r="P12" t="e">
        <f>#REF!</f>
        <v>#REF!</v>
      </c>
      <c r="Q12" t="e">
        <f>#REF!</f>
        <v>#REF!</v>
      </c>
      <c r="R12" t="e">
        <f>ROUND(ROUND(Q12*#REF!, 6)*1, 2)</f>
        <v>#REF!</v>
      </c>
      <c r="S12" t="e">
        <f>#REF!</f>
        <v>#REF!</v>
      </c>
      <c r="T12" t="e">
        <f>ROUND(ROUND(Q12*#REF!, 6)*#REF!, 2)</f>
        <v>#REF!</v>
      </c>
      <c r="U12">
        <v>3</v>
      </c>
      <c r="Z12" t="e">
        <f>#REF!</f>
        <v>#REF!</v>
      </c>
      <c r="AA12">
        <v>-1851566093</v>
      </c>
      <c r="AB12">
        <v>-1851566093</v>
      </c>
    </row>
    <row r="13" spans="1:28" x14ac:dyDescent="0.25">
      <c r="A13">
        <v>20</v>
      </c>
      <c r="B13">
        <v>9</v>
      </c>
      <c r="C13">
        <v>3</v>
      </c>
      <c r="D13">
        <v>0</v>
      </c>
      <c r="E13" t="e">
        <f>#REF!</f>
        <v>#REF!</v>
      </c>
      <c r="F13" t="e">
        <f>#REF!</f>
        <v>#REF!</v>
      </c>
      <c r="G13" t="e">
        <f>#REF!</f>
        <v>#REF!</v>
      </c>
      <c r="H13" t="e">
        <f>#REF!</f>
        <v>#REF!</v>
      </c>
      <c r="I13" t="e">
        <f>#REF!*#REF!</f>
        <v>#REF!</v>
      </c>
      <c r="J13" t="e">
        <f>#REF!</f>
        <v>#REF!</v>
      </c>
      <c r="K13" t="e">
        <f>#REF!</f>
        <v>#REF!</v>
      </c>
      <c r="L13" t="e">
        <f>#REF!</f>
        <v>#REF!</v>
      </c>
      <c r="M13" t="e">
        <f>ROUND(ROUND(L13*#REF!, 6)*1, 2)</f>
        <v>#REF!</v>
      </c>
      <c r="N13" t="e">
        <f>#REF!</f>
        <v>#REF!</v>
      </c>
      <c r="O13" t="e">
        <f>ROUND(ROUND(L13*#REF!, 6)*#REF!, 2)</f>
        <v>#REF!</v>
      </c>
      <c r="P13" t="e">
        <f>#REF!</f>
        <v>#REF!</v>
      </c>
      <c r="Q13" t="e">
        <f>#REF!</f>
        <v>#REF!</v>
      </c>
      <c r="R13" t="e">
        <f>ROUND(ROUND(Q13*#REF!, 6)*1, 2)</f>
        <v>#REF!</v>
      </c>
      <c r="S13" t="e">
        <f>#REF!</f>
        <v>#REF!</v>
      </c>
      <c r="T13" t="e">
        <f>ROUND(ROUND(Q13*#REF!, 6)*#REF!, 2)</f>
        <v>#REF!</v>
      </c>
      <c r="U13">
        <v>3</v>
      </c>
      <c r="Z13" t="e">
        <f>#REF!</f>
        <v>#REF!</v>
      </c>
      <c r="AA13">
        <v>1203958368</v>
      </c>
      <c r="AB13">
        <v>1203958368</v>
      </c>
    </row>
    <row r="14" spans="1:28" x14ac:dyDescent="0.25">
      <c r="A14">
        <v>20</v>
      </c>
      <c r="B14">
        <v>15</v>
      </c>
      <c r="C14">
        <v>3</v>
      </c>
      <c r="D14">
        <v>0</v>
      </c>
      <c r="E14" t="e">
        <f>#REF!</f>
        <v>#REF!</v>
      </c>
      <c r="F14" t="e">
        <f>#REF!</f>
        <v>#REF!</v>
      </c>
      <c r="G14" t="e">
        <f>#REF!</f>
        <v>#REF!</v>
      </c>
      <c r="H14" t="e">
        <f>#REF!</f>
        <v>#REF!</v>
      </c>
      <c r="I14" t="e">
        <f>#REF!*#REF!</f>
        <v>#REF!</v>
      </c>
      <c r="J14" t="e">
        <f>#REF!</f>
        <v>#REF!</v>
      </c>
      <c r="K14" t="e">
        <f>#REF!</f>
        <v>#REF!</v>
      </c>
      <c r="L14" t="e">
        <f>#REF!</f>
        <v>#REF!</v>
      </c>
      <c r="M14" t="e">
        <f>ROUND(ROUND(L14*#REF!, 6)*1, 2)</f>
        <v>#REF!</v>
      </c>
      <c r="N14" t="e">
        <f>#REF!</f>
        <v>#REF!</v>
      </c>
      <c r="O14" t="e">
        <f>ROUND(ROUND(L14*#REF!, 6)*#REF!, 2)</f>
        <v>#REF!</v>
      </c>
      <c r="P14" t="e">
        <f>#REF!</f>
        <v>#REF!</v>
      </c>
      <c r="Q14" t="e">
        <f>#REF!</f>
        <v>#REF!</v>
      </c>
      <c r="R14" t="e">
        <f>ROUND(ROUND(Q14*#REF!, 6)*1, 2)</f>
        <v>#REF!</v>
      </c>
      <c r="S14" t="e">
        <f>#REF!</f>
        <v>#REF!</v>
      </c>
      <c r="T14" t="e">
        <f>ROUND(ROUND(Q14*#REF!, 6)*#REF!, 2)</f>
        <v>#REF!</v>
      </c>
      <c r="U14">
        <v>3</v>
      </c>
      <c r="Z14" t="e">
        <f>#REF!</f>
        <v>#REF!</v>
      </c>
      <c r="AA14">
        <v>431684150</v>
      </c>
      <c r="AB14">
        <v>431684150</v>
      </c>
    </row>
    <row r="15" spans="1:28" x14ac:dyDescent="0.25">
      <c r="A15">
        <v>20</v>
      </c>
      <c r="B15">
        <v>14</v>
      </c>
      <c r="C15">
        <v>3</v>
      </c>
      <c r="D15">
        <v>0</v>
      </c>
      <c r="E15" t="e">
        <f>#REF!</f>
        <v>#REF!</v>
      </c>
      <c r="F15" t="e">
        <f>#REF!</f>
        <v>#REF!</v>
      </c>
      <c r="G15" t="e">
        <f>#REF!</f>
        <v>#REF!</v>
      </c>
      <c r="H15" t="e">
        <f>#REF!</f>
        <v>#REF!</v>
      </c>
      <c r="I15" t="e">
        <f>#REF!*#REF!</f>
        <v>#REF!</v>
      </c>
      <c r="J15" t="e">
        <f>#REF!</f>
        <v>#REF!</v>
      </c>
      <c r="K15" t="e">
        <f>#REF!</f>
        <v>#REF!</v>
      </c>
      <c r="L15" t="e">
        <f>#REF!</f>
        <v>#REF!</v>
      </c>
      <c r="M15" t="e">
        <f>ROUND(ROUND(L15*#REF!, 6)*1, 2)</f>
        <v>#REF!</v>
      </c>
      <c r="N15" t="e">
        <f>#REF!</f>
        <v>#REF!</v>
      </c>
      <c r="O15" t="e">
        <f>ROUND(ROUND(L15*#REF!, 6)*#REF!, 2)</f>
        <v>#REF!</v>
      </c>
      <c r="P15" t="e">
        <f>#REF!</f>
        <v>#REF!</v>
      </c>
      <c r="Q15" t="e">
        <f>#REF!</f>
        <v>#REF!</v>
      </c>
      <c r="R15" t="e">
        <f>ROUND(ROUND(Q15*#REF!, 6)*1, 2)</f>
        <v>#REF!</v>
      </c>
      <c r="S15" t="e">
        <f>#REF!</f>
        <v>#REF!</v>
      </c>
      <c r="T15" t="e">
        <f>ROUND(ROUND(Q15*#REF!, 6)*#REF!, 2)</f>
        <v>#REF!</v>
      </c>
      <c r="U15">
        <v>3</v>
      </c>
      <c r="Z15" t="e">
        <f>#REF!</f>
        <v>#REF!</v>
      </c>
      <c r="AA15">
        <v>714169385</v>
      </c>
      <c r="AB15">
        <v>714169385</v>
      </c>
    </row>
    <row r="16" spans="1:28" x14ac:dyDescent="0.25">
      <c r="A16">
        <v>20</v>
      </c>
      <c r="B16">
        <v>13</v>
      </c>
      <c r="C16">
        <v>3</v>
      </c>
      <c r="D16">
        <v>0</v>
      </c>
      <c r="E16" t="e">
        <f>#REF!</f>
        <v>#REF!</v>
      </c>
      <c r="F16" t="e">
        <f>#REF!</f>
        <v>#REF!</v>
      </c>
      <c r="G16" t="e">
        <f>#REF!</f>
        <v>#REF!</v>
      </c>
      <c r="H16" t="e">
        <f>#REF!</f>
        <v>#REF!</v>
      </c>
      <c r="I16" t="e">
        <f>#REF!*#REF!</f>
        <v>#REF!</v>
      </c>
      <c r="J16" t="e">
        <f>#REF!</f>
        <v>#REF!</v>
      </c>
      <c r="K16" t="e">
        <f>#REF!</f>
        <v>#REF!</v>
      </c>
      <c r="L16" t="e">
        <f>#REF!</f>
        <v>#REF!</v>
      </c>
      <c r="M16" t="e">
        <f>ROUND(ROUND(L16*#REF!, 6)*1, 2)</f>
        <v>#REF!</v>
      </c>
      <c r="N16" t="e">
        <f>#REF!</f>
        <v>#REF!</v>
      </c>
      <c r="O16" t="e">
        <f>ROUND(ROUND(L16*#REF!, 6)*#REF!, 2)</f>
        <v>#REF!</v>
      </c>
      <c r="P16" t="e">
        <f>#REF!</f>
        <v>#REF!</v>
      </c>
      <c r="Q16" t="e">
        <f>#REF!</f>
        <v>#REF!</v>
      </c>
      <c r="R16" t="e">
        <f>ROUND(ROUND(Q16*#REF!, 6)*1, 2)</f>
        <v>#REF!</v>
      </c>
      <c r="S16" t="e">
        <f>#REF!</f>
        <v>#REF!</v>
      </c>
      <c r="T16" t="e">
        <f>ROUND(ROUND(Q16*#REF!, 6)*#REF!, 2)</f>
        <v>#REF!</v>
      </c>
      <c r="U16">
        <v>3</v>
      </c>
      <c r="Z16" t="e">
        <f>#REF!</f>
        <v>#REF!</v>
      </c>
      <c r="AA16">
        <v>1203958368</v>
      </c>
      <c r="AB16">
        <v>1203958368</v>
      </c>
    </row>
    <row r="17" spans="1:28" x14ac:dyDescent="0.25">
      <c r="A17">
        <v>20</v>
      </c>
      <c r="B17">
        <v>23</v>
      </c>
      <c r="C17">
        <v>3</v>
      </c>
      <c r="D17">
        <v>0</v>
      </c>
      <c r="E17" t="e">
        <f>#REF!</f>
        <v>#REF!</v>
      </c>
      <c r="F17" t="e">
        <f>#REF!</f>
        <v>#REF!</v>
      </c>
      <c r="G17" t="e">
        <f>#REF!</f>
        <v>#REF!</v>
      </c>
      <c r="H17" t="e">
        <f>#REF!</f>
        <v>#REF!</v>
      </c>
      <c r="I17" t="e">
        <f>#REF!*#REF!</f>
        <v>#REF!</v>
      </c>
      <c r="J17" t="e">
        <f>#REF!</f>
        <v>#REF!</v>
      </c>
      <c r="K17" t="e">
        <f>#REF!</f>
        <v>#REF!</v>
      </c>
      <c r="L17" t="e">
        <f>#REF!</f>
        <v>#REF!</v>
      </c>
      <c r="M17" t="e">
        <f>ROUND(ROUND(L17*#REF!, 6)*1, 2)</f>
        <v>#REF!</v>
      </c>
      <c r="N17" t="e">
        <f>#REF!</f>
        <v>#REF!</v>
      </c>
      <c r="O17" t="e">
        <f>ROUND(ROUND(L17*#REF!, 6)*#REF!, 2)</f>
        <v>#REF!</v>
      </c>
      <c r="P17" t="e">
        <f>#REF!</f>
        <v>#REF!</v>
      </c>
      <c r="Q17" t="e">
        <f>#REF!</f>
        <v>#REF!</v>
      </c>
      <c r="R17" t="e">
        <f>ROUND(ROUND(Q17*#REF!, 6)*1, 2)</f>
        <v>#REF!</v>
      </c>
      <c r="S17" t="e">
        <f>#REF!</f>
        <v>#REF!</v>
      </c>
      <c r="T17" t="e">
        <f>ROUND(ROUND(Q17*#REF!, 6)*#REF!, 2)</f>
        <v>#REF!</v>
      </c>
      <c r="U17">
        <v>3</v>
      </c>
      <c r="Z17" t="e">
        <f>#REF!</f>
        <v>#REF!</v>
      </c>
      <c r="AA17">
        <v>1800689476</v>
      </c>
      <c r="AB17">
        <v>1800689476</v>
      </c>
    </row>
    <row r="18" spans="1:28" x14ac:dyDescent="0.25">
      <c r="A18">
        <v>20</v>
      </c>
      <c r="B18">
        <v>22</v>
      </c>
      <c r="C18">
        <v>3</v>
      </c>
      <c r="D18">
        <v>0</v>
      </c>
      <c r="E18" t="e">
        <f>#REF!</f>
        <v>#REF!</v>
      </c>
      <c r="F18" t="e">
        <f>#REF!</f>
        <v>#REF!</v>
      </c>
      <c r="G18" t="e">
        <f>#REF!</f>
        <v>#REF!</v>
      </c>
      <c r="H18" t="e">
        <f>#REF!</f>
        <v>#REF!</v>
      </c>
      <c r="I18" t="e">
        <f>#REF!*#REF!</f>
        <v>#REF!</v>
      </c>
      <c r="J18" t="e">
        <f>#REF!</f>
        <v>#REF!</v>
      </c>
      <c r="K18" t="e">
        <f>#REF!</f>
        <v>#REF!</v>
      </c>
      <c r="L18" t="e">
        <f>#REF!</f>
        <v>#REF!</v>
      </c>
      <c r="M18" t="e">
        <f>ROUND(ROUND(L18*#REF!, 6)*1, 2)</f>
        <v>#REF!</v>
      </c>
      <c r="N18" t="e">
        <f>#REF!</f>
        <v>#REF!</v>
      </c>
      <c r="O18" t="e">
        <f>ROUND(ROUND(L18*#REF!, 6)*#REF!, 2)</f>
        <v>#REF!</v>
      </c>
      <c r="P18" t="e">
        <f>#REF!</f>
        <v>#REF!</v>
      </c>
      <c r="Q18" t="e">
        <f>#REF!</f>
        <v>#REF!</v>
      </c>
      <c r="R18" t="e">
        <f>ROUND(ROUND(Q18*#REF!, 6)*1, 2)</f>
        <v>#REF!</v>
      </c>
      <c r="S18" t="e">
        <f>#REF!</f>
        <v>#REF!</v>
      </c>
      <c r="T18" t="e">
        <f>ROUND(ROUND(Q18*#REF!, 6)*#REF!, 2)</f>
        <v>#REF!</v>
      </c>
      <c r="U18">
        <v>3</v>
      </c>
      <c r="Z18" t="e">
        <f>#REF!</f>
        <v>#REF!</v>
      </c>
      <c r="AA18">
        <v>1145435012</v>
      </c>
      <c r="AB18">
        <v>1145435012</v>
      </c>
    </row>
    <row r="19" spans="1:28" x14ac:dyDescent="0.25">
      <c r="A19">
        <v>20</v>
      </c>
      <c r="B19">
        <v>21</v>
      </c>
      <c r="C19">
        <v>3</v>
      </c>
      <c r="D19">
        <v>0</v>
      </c>
      <c r="E19" t="e">
        <f>#REF!</f>
        <v>#REF!</v>
      </c>
      <c r="F19" t="e">
        <f>#REF!</f>
        <v>#REF!</v>
      </c>
      <c r="G19" t="e">
        <f>#REF!</f>
        <v>#REF!</v>
      </c>
      <c r="H19" t="e">
        <f>#REF!</f>
        <v>#REF!</v>
      </c>
      <c r="I19" t="e">
        <f>#REF!*#REF!</f>
        <v>#REF!</v>
      </c>
      <c r="J19" t="e">
        <f>#REF!</f>
        <v>#REF!</v>
      </c>
      <c r="K19" t="e">
        <f>#REF!</f>
        <v>#REF!</v>
      </c>
      <c r="L19" t="e">
        <f>#REF!</f>
        <v>#REF!</v>
      </c>
      <c r="M19" t="e">
        <f>ROUND(ROUND(L19*#REF!, 6)*1, 2)</f>
        <v>#REF!</v>
      </c>
      <c r="N19" t="e">
        <f>#REF!</f>
        <v>#REF!</v>
      </c>
      <c r="O19" t="e">
        <f>ROUND(ROUND(L19*#REF!, 6)*#REF!, 2)</f>
        <v>#REF!</v>
      </c>
      <c r="P19" t="e">
        <f>#REF!</f>
        <v>#REF!</v>
      </c>
      <c r="Q19" t="e">
        <f>#REF!</f>
        <v>#REF!</v>
      </c>
      <c r="R19" t="e">
        <f>ROUND(ROUND(Q19*#REF!, 6)*1, 2)</f>
        <v>#REF!</v>
      </c>
      <c r="S19" t="e">
        <f>#REF!</f>
        <v>#REF!</v>
      </c>
      <c r="T19" t="e">
        <f>ROUND(ROUND(Q19*#REF!, 6)*#REF!, 2)</f>
        <v>#REF!</v>
      </c>
      <c r="U19">
        <v>3</v>
      </c>
      <c r="Z19" t="e">
        <f>#REF!</f>
        <v>#REF!</v>
      </c>
      <c r="AA19">
        <v>-161127859</v>
      </c>
      <c r="AB19">
        <v>-161127859</v>
      </c>
    </row>
    <row r="20" spans="1:28" x14ac:dyDescent="0.25">
      <c r="A20">
        <v>20</v>
      </c>
      <c r="B20">
        <v>20</v>
      </c>
      <c r="C20">
        <v>3</v>
      </c>
      <c r="D20">
        <v>0</v>
      </c>
      <c r="E20" t="e">
        <f>#REF!</f>
        <v>#REF!</v>
      </c>
      <c r="F20" t="e">
        <f>#REF!</f>
        <v>#REF!</v>
      </c>
      <c r="G20" t="e">
        <f>#REF!</f>
        <v>#REF!</v>
      </c>
      <c r="H20" t="e">
        <f>#REF!</f>
        <v>#REF!</v>
      </c>
      <c r="I20" t="e">
        <f>#REF!*#REF!</f>
        <v>#REF!</v>
      </c>
      <c r="J20" t="e">
        <f>#REF!</f>
        <v>#REF!</v>
      </c>
      <c r="K20" t="e">
        <f>#REF!</f>
        <v>#REF!</v>
      </c>
      <c r="L20" t="e">
        <f>#REF!</f>
        <v>#REF!</v>
      </c>
      <c r="M20" t="e">
        <f>ROUND(ROUND(L20*#REF!, 6)*1, 2)</f>
        <v>#REF!</v>
      </c>
      <c r="N20" t="e">
        <f>#REF!</f>
        <v>#REF!</v>
      </c>
      <c r="O20" t="e">
        <f>ROUND(ROUND(L20*#REF!, 6)*#REF!, 2)</f>
        <v>#REF!</v>
      </c>
      <c r="P20" t="e">
        <f>#REF!</f>
        <v>#REF!</v>
      </c>
      <c r="Q20" t="e">
        <f>#REF!</f>
        <v>#REF!</v>
      </c>
      <c r="R20" t="e">
        <f>ROUND(ROUND(Q20*#REF!, 6)*1, 2)</f>
        <v>#REF!</v>
      </c>
      <c r="S20" t="e">
        <f>#REF!</f>
        <v>#REF!</v>
      </c>
      <c r="T20" t="e">
        <f>ROUND(ROUND(Q20*#REF!, 6)*#REF!, 2)</f>
        <v>#REF!</v>
      </c>
      <c r="U20">
        <v>3</v>
      </c>
      <c r="Z20" t="e">
        <f>#REF!</f>
        <v>#REF!</v>
      </c>
      <c r="AA20">
        <v>1085117016</v>
      </c>
      <c r="AB20">
        <v>1085117016</v>
      </c>
    </row>
    <row r="21" spans="1:28" x14ac:dyDescent="0.25">
      <c r="A21">
        <v>20</v>
      </c>
      <c r="B21">
        <v>19</v>
      </c>
      <c r="C21">
        <v>3</v>
      </c>
      <c r="D21">
        <v>0</v>
      </c>
      <c r="E21" t="e">
        <f>#REF!</f>
        <v>#REF!</v>
      </c>
      <c r="F21" t="e">
        <f>#REF!</f>
        <v>#REF!</v>
      </c>
      <c r="G21" t="e">
        <f>#REF!</f>
        <v>#REF!</v>
      </c>
      <c r="H21" t="e">
        <f>#REF!</f>
        <v>#REF!</v>
      </c>
      <c r="I21" t="e">
        <f>#REF!*#REF!</f>
        <v>#REF!</v>
      </c>
      <c r="J21" t="e">
        <f>#REF!</f>
        <v>#REF!</v>
      </c>
      <c r="K21" t="e">
        <f>#REF!</f>
        <v>#REF!</v>
      </c>
      <c r="L21" t="e">
        <f>#REF!</f>
        <v>#REF!</v>
      </c>
      <c r="M21" t="e">
        <f>ROUND(ROUND(L21*#REF!, 6)*1, 2)</f>
        <v>#REF!</v>
      </c>
      <c r="N21" t="e">
        <f>#REF!</f>
        <v>#REF!</v>
      </c>
      <c r="O21" t="e">
        <f>ROUND(ROUND(L21*#REF!, 6)*#REF!, 2)</f>
        <v>#REF!</v>
      </c>
      <c r="P21" t="e">
        <f>#REF!</f>
        <v>#REF!</v>
      </c>
      <c r="Q21" t="e">
        <f>#REF!</f>
        <v>#REF!</v>
      </c>
      <c r="R21" t="e">
        <f>ROUND(ROUND(Q21*#REF!, 6)*1, 2)</f>
        <v>#REF!</v>
      </c>
      <c r="S21" t="e">
        <f>#REF!</f>
        <v>#REF!</v>
      </c>
      <c r="T21" t="e">
        <f>ROUND(ROUND(Q21*#REF!, 6)*#REF!, 2)</f>
        <v>#REF!</v>
      </c>
      <c r="U21">
        <v>3</v>
      </c>
      <c r="Z21" t="e">
        <f>#REF!</f>
        <v>#REF!</v>
      </c>
      <c r="AA21">
        <v>-1923017736</v>
      </c>
      <c r="AB21">
        <v>-1923017736</v>
      </c>
    </row>
    <row r="22" spans="1:28" x14ac:dyDescent="0.25">
      <c r="A22">
        <v>20</v>
      </c>
      <c r="B22">
        <v>18</v>
      </c>
      <c r="C22">
        <v>3</v>
      </c>
      <c r="D22">
        <v>0</v>
      </c>
      <c r="E22" t="e">
        <f>#REF!</f>
        <v>#REF!</v>
      </c>
      <c r="F22" t="e">
        <f>#REF!</f>
        <v>#REF!</v>
      </c>
      <c r="G22" t="e">
        <f>#REF!</f>
        <v>#REF!</v>
      </c>
      <c r="H22" t="e">
        <f>#REF!</f>
        <v>#REF!</v>
      </c>
      <c r="I22" t="e">
        <f>#REF!*#REF!</f>
        <v>#REF!</v>
      </c>
      <c r="J22" t="e">
        <f>#REF!</f>
        <v>#REF!</v>
      </c>
      <c r="K22" t="e">
        <f>#REF!</f>
        <v>#REF!</v>
      </c>
      <c r="L22" t="e">
        <f>#REF!</f>
        <v>#REF!</v>
      </c>
      <c r="M22" t="e">
        <f>ROUND(ROUND(L22*#REF!, 6)*1, 2)</f>
        <v>#REF!</v>
      </c>
      <c r="N22" t="e">
        <f>#REF!</f>
        <v>#REF!</v>
      </c>
      <c r="O22" t="e">
        <f>ROUND(ROUND(L22*#REF!, 6)*#REF!, 2)</f>
        <v>#REF!</v>
      </c>
      <c r="P22" t="e">
        <f>#REF!</f>
        <v>#REF!</v>
      </c>
      <c r="Q22" t="e">
        <f>#REF!</f>
        <v>#REF!</v>
      </c>
      <c r="R22" t="e">
        <f>ROUND(ROUND(Q22*#REF!, 6)*1, 2)</f>
        <v>#REF!</v>
      </c>
      <c r="S22" t="e">
        <f>#REF!</f>
        <v>#REF!</v>
      </c>
      <c r="T22" t="e">
        <f>ROUND(ROUND(Q22*#REF!, 6)*#REF!, 2)</f>
        <v>#REF!</v>
      </c>
      <c r="U22">
        <v>3</v>
      </c>
      <c r="Z22" t="e">
        <f>#REF!</f>
        <v>#REF!</v>
      </c>
      <c r="AA22">
        <v>156568662</v>
      </c>
      <c r="AB22">
        <v>156568662</v>
      </c>
    </row>
    <row r="23" spans="1:28" x14ac:dyDescent="0.25">
      <c r="A23">
        <v>20</v>
      </c>
      <c r="B23">
        <v>27</v>
      </c>
      <c r="C23">
        <v>3</v>
      </c>
      <c r="D23">
        <v>0</v>
      </c>
      <c r="E23" t="e">
        <f>#REF!</f>
        <v>#REF!</v>
      </c>
      <c r="F23" t="e">
        <f>#REF!</f>
        <v>#REF!</v>
      </c>
      <c r="G23" t="e">
        <f>#REF!</f>
        <v>#REF!</v>
      </c>
      <c r="H23" t="e">
        <f>#REF!</f>
        <v>#REF!</v>
      </c>
      <c r="I23" t="e">
        <f>#REF!*#REF!</f>
        <v>#REF!</v>
      </c>
      <c r="J23" t="e">
        <f>#REF!</f>
        <v>#REF!</v>
      </c>
      <c r="K23" t="e">
        <f>#REF!</f>
        <v>#REF!</v>
      </c>
      <c r="L23" t="e">
        <f>#REF!</f>
        <v>#REF!</v>
      </c>
      <c r="M23" t="e">
        <f>ROUND(ROUND(L23*#REF!, 6)*1, 2)</f>
        <v>#REF!</v>
      </c>
      <c r="N23" t="e">
        <f>#REF!</f>
        <v>#REF!</v>
      </c>
      <c r="O23" t="e">
        <f>ROUND(ROUND(L23*#REF!, 6)*#REF!, 2)</f>
        <v>#REF!</v>
      </c>
      <c r="P23" t="e">
        <f>#REF!</f>
        <v>#REF!</v>
      </c>
      <c r="Q23" t="e">
        <f>#REF!</f>
        <v>#REF!</v>
      </c>
      <c r="R23" t="e">
        <f>ROUND(ROUND(Q23*#REF!, 6)*1, 2)</f>
        <v>#REF!</v>
      </c>
      <c r="S23" t="e">
        <f>#REF!</f>
        <v>#REF!</v>
      </c>
      <c r="T23" t="e">
        <f>ROUND(ROUND(Q23*#REF!, 6)*#REF!, 2)</f>
        <v>#REF!</v>
      </c>
      <c r="U23">
        <v>3</v>
      </c>
      <c r="Z23" t="e">
        <f>#REF!</f>
        <v>#REF!</v>
      </c>
      <c r="AA23">
        <v>-1845018978</v>
      </c>
      <c r="AB23">
        <v>-1845018978</v>
      </c>
    </row>
    <row r="24" spans="1:28" x14ac:dyDescent="0.25">
      <c r="A24">
        <v>20</v>
      </c>
      <c r="B24">
        <v>26</v>
      </c>
      <c r="C24">
        <v>3</v>
      </c>
      <c r="D24">
        <v>0</v>
      </c>
      <c r="E24" t="e">
        <f>#REF!</f>
        <v>#REF!</v>
      </c>
      <c r="F24" t="e">
        <f>#REF!</f>
        <v>#REF!</v>
      </c>
      <c r="G24" t="e">
        <f>#REF!</f>
        <v>#REF!</v>
      </c>
      <c r="H24" t="e">
        <f>#REF!</f>
        <v>#REF!</v>
      </c>
      <c r="I24" t="e">
        <f>#REF!*#REF!</f>
        <v>#REF!</v>
      </c>
      <c r="J24" t="e">
        <f>#REF!</f>
        <v>#REF!</v>
      </c>
      <c r="K24" t="e">
        <f>#REF!</f>
        <v>#REF!</v>
      </c>
      <c r="L24" t="e">
        <f>#REF!</f>
        <v>#REF!</v>
      </c>
      <c r="M24" t="e">
        <f>ROUND(ROUND(L24*#REF!, 6)*1, 2)</f>
        <v>#REF!</v>
      </c>
      <c r="N24" t="e">
        <f>#REF!</f>
        <v>#REF!</v>
      </c>
      <c r="O24" t="e">
        <f>ROUND(ROUND(L24*#REF!, 6)*#REF!, 2)</f>
        <v>#REF!</v>
      </c>
      <c r="P24" t="e">
        <f>#REF!</f>
        <v>#REF!</v>
      </c>
      <c r="Q24" t="e">
        <f>#REF!</f>
        <v>#REF!</v>
      </c>
      <c r="R24" t="e">
        <f>ROUND(ROUND(Q24*#REF!, 6)*1, 2)</f>
        <v>#REF!</v>
      </c>
      <c r="S24" t="e">
        <f>#REF!</f>
        <v>#REF!</v>
      </c>
      <c r="T24" t="e">
        <f>ROUND(ROUND(Q24*#REF!, 6)*#REF!, 2)</f>
        <v>#REF!</v>
      </c>
      <c r="U24">
        <v>3</v>
      </c>
      <c r="Z24" t="e">
        <f>#REF!</f>
        <v>#REF!</v>
      </c>
      <c r="AA24">
        <v>-581612815</v>
      </c>
      <c r="AB24">
        <v>-581612815</v>
      </c>
    </row>
    <row r="25" spans="1:28" x14ac:dyDescent="0.25">
      <c r="A25">
        <v>20</v>
      </c>
      <c r="B25">
        <v>25</v>
      </c>
      <c r="C25">
        <v>3</v>
      </c>
      <c r="D25">
        <v>0</v>
      </c>
      <c r="E25" t="e">
        <f>#REF!</f>
        <v>#REF!</v>
      </c>
      <c r="F25" t="e">
        <f>#REF!</f>
        <v>#REF!</v>
      </c>
      <c r="G25" t="e">
        <f>#REF!</f>
        <v>#REF!</v>
      </c>
      <c r="H25" t="e">
        <f>#REF!</f>
        <v>#REF!</v>
      </c>
      <c r="I25" t="e">
        <f>#REF!*#REF!</f>
        <v>#REF!</v>
      </c>
      <c r="J25" t="e">
        <f>#REF!</f>
        <v>#REF!</v>
      </c>
      <c r="K25" t="e">
        <f>#REF!</f>
        <v>#REF!</v>
      </c>
      <c r="L25" t="e">
        <f>#REF!</f>
        <v>#REF!</v>
      </c>
      <c r="M25" t="e">
        <f>ROUND(ROUND(L25*#REF!, 6)*1, 2)</f>
        <v>#REF!</v>
      </c>
      <c r="N25" t="e">
        <f>#REF!</f>
        <v>#REF!</v>
      </c>
      <c r="O25" t="e">
        <f>ROUND(ROUND(L25*#REF!, 6)*#REF!, 2)</f>
        <v>#REF!</v>
      </c>
      <c r="P25" t="e">
        <f>#REF!</f>
        <v>#REF!</v>
      </c>
      <c r="Q25" t="e">
        <f>#REF!</f>
        <v>#REF!</v>
      </c>
      <c r="R25" t="e">
        <f>ROUND(ROUND(Q25*#REF!, 6)*1, 2)</f>
        <v>#REF!</v>
      </c>
      <c r="S25" t="e">
        <f>#REF!</f>
        <v>#REF!</v>
      </c>
      <c r="T25" t="e">
        <f>ROUND(ROUND(Q25*#REF!, 6)*#REF!, 2)</f>
        <v>#REF!</v>
      </c>
      <c r="U25">
        <v>3</v>
      </c>
      <c r="Z25" t="e">
        <f>#REF!</f>
        <v>#REF!</v>
      </c>
      <c r="AA25">
        <v>522777229</v>
      </c>
      <c r="AB25">
        <v>522777229</v>
      </c>
    </row>
    <row r="26" spans="1:28" x14ac:dyDescent="0.25">
      <c r="A26" t="e">
        <f>#REF!</f>
        <v>#REF!</v>
      </c>
      <c r="B26">
        <v>70</v>
      </c>
      <c r="G26" t="e">
        <f>#REF!</f>
        <v>#REF!</v>
      </c>
    </row>
    <row r="27" spans="1:28" x14ac:dyDescent="0.25">
      <c r="A27">
        <v>20</v>
      </c>
      <c r="B27">
        <v>45</v>
      </c>
      <c r="C27">
        <v>3</v>
      </c>
      <c r="D27">
        <v>0</v>
      </c>
      <c r="E27" t="e">
        <f>#REF!</f>
        <v>#REF!</v>
      </c>
      <c r="F27" t="e">
        <f>#REF!</f>
        <v>#REF!</v>
      </c>
      <c r="G27" t="e">
        <f>#REF!</f>
        <v>#REF!</v>
      </c>
      <c r="H27" t="e">
        <f>#REF!</f>
        <v>#REF!</v>
      </c>
      <c r="I27" t="e">
        <f>#REF!*#REF!</f>
        <v>#REF!</v>
      </c>
      <c r="J27" t="e">
        <f>#REF!</f>
        <v>#REF!</v>
      </c>
      <c r="K27" t="e">
        <f>#REF!</f>
        <v>#REF!</v>
      </c>
      <c r="L27" t="e">
        <f>#REF!</f>
        <v>#REF!</v>
      </c>
      <c r="M27" t="e">
        <f>ROUND(ROUND(L27*#REF!, 6)*1, 2)</f>
        <v>#REF!</v>
      </c>
      <c r="N27" t="e">
        <f>#REF!</f>
        <v>#REF!</v>
      </c>
      <c r="O27" t="e">
        <f>ROUND(ROUND(L27*#REF!, 6)*#REF!, 2)</f>
        <v>#REF!</v>
      </c>
      <c r="P27" t="e">
        <f>#REF!</f>
        <v>#REF!</v>
      </c>
      <c r="Q27" t="e">
        <f>#REF!</f>
        <v>#REF!</v>
      </c>
      <c r="R27" t="e">
        <f>ROUND(ROUND(Q27*#REF!, 6)*1, 2)</f>
        <v>#REF!</v>
      </c>
      <c r="S27" t="e">
        <f>#REF!</f>
        <v>#REF!</v>
      </c>
      <c r="T27" t="e">
        <f>ROUND(ROUND(Q27*#REF!, 6)*#REF!, 2)</f>
        <v>#REF!</v>
      </c>
      <c r="U27">
        <v>3</v>
      </c>
      <c r="Z27" t="e">
        <f>#REF!</f>
        <v>#REF!</v>
      </c>
      <c r="AA27">
        <v>2093465978</v>
      </c>
      <c r="AB27">
        <v>2093465978</v>
      </c>
    </row>
    <row r="28" spans="1:28" x14ac:dyDescent="0.25">
      <c r="A28">
        <v>20</v>
      </c>
      <c r="B28">
        <v>44</v>
      </c>
      <c r="C28">
        <v>3</v>
      </c>
      <c r="D28">
        <v>0</v>
      </c>
      <c r="E28" t="e">
        <f>#REF!</f>
        <v>#REF!</v>
      </c>
      <c r="F28" t="e">
        <f>#REF!</f>
        <v>#REF!</v>
      </c>
      <c r="G28" t="e">
        <f>#REF!</f>
        <v>#REF!</v>
      </c>
      <c r="H28" t="e">
        <f>#REF!</f>
        <v>#REF!</v>
      </c>
      <c r="I28" t="e">
        <f>#REF!*#REF!</f>
        <v>#REF!</v>
      </c>
      <c r="J28" t="e">
        <f>#REF!</f>
        <v>#REF!</v>
      </c>
      <c r="K28" t="e">
        <f>#REF!</f>
        <v>#REF!</v>
      </c>
      <c r="L28" t="e">
        <f>#REF!</f>
        <v>#REF!</v>
      </c>
      <c r="M28" t="e">
        <f>ROUND(ROUND(L28*#REF!, 6)*1, 2)</f>
        <v>#REF!</v>
      </c>
      <c r="N28" t="e">
        <f>#REF!</f>
        <v>#REF!</v>
      </c>
      <c r="O28" t="e">
        <f>ROUND(ROUND(L28*#REF!, 6)*#REF!, 2)</f>
        <v>#REF!</v>
      </c>
      <c r="P28" t="e">
        <f>#REF!</f>
        <v>#REF!</v>
      </c>
      <c r="Q28" t="e">
        <f>#REF!</f>
        <v>#REF!</v>
      </c>
      <c r="R28" t="e">
        <f>ROUND(ROUND(Q28*#REF!, 6)*1, 2)</f>
        <v>#REF!</v>
      </c>
      <c r="S28" t="e">
        <f>#REF!</f>
        <v>#REF!</v>
      </c>
      <c r="T28" t="e">
        <f>ROUND(ROUND(Q28*#REF!, 6)*#REF!, 2)</f>
        <v>#REF!</v>
      </c>
      <c r="U28">
        <v>3</v>
      </c>
      <c r="Z28" t="e">
        <f>#REF!</f>
        <v>#REF!</v>
      </c>
      <c r="AA28">
        <v>1203958368</v>
      </c>
      <c r="AB28">
        <v>1203958368</v>
      </c>
    </row>
    <row r="29" spans="1:28" x14ac:dyDescent="0.25">
      <c r="A29">
        <v>20</v>
      </c>
      <c r="B29">
        <v>43</v>
      </c>
      <c r="C29">
        <v>3</v>
      </c>
      <c r="D29">
        <v>0</v>
      </c>
      <c r="E29" t="e">
        <f>#REF!</f>
        <v>#REF!</v>
      </c>
      <c r="F29" t="e">
        <f>#REF!</f>
        <v>#REF!</v>
      </c>
      <c r="G29" t="e">
        <f>#REF!</f>
        <v>#REF!</v>
      </c>
      <c r="H29" t="e">
        <f>#REF!</f>
        <v>#REF!</v>
      </c>
      <c r="I29" t="e">
        <f>#REF!*#REF!</f>
        <v>#REF!</v>
      </c>
      <c r="J29" t="e">
        <f>#REF!</f>
        <v>#REF!</v>
      </c>
      <c r="K29" t="e">
        <f>#REF!</f>
        <v>#REF!</v>
      </c>
      <c r="L29" t="e">
        <f>#REF!</f>
        <v>#REF!</v>
      </c>
      <c r="M29" t="e">
        <f>ROUND(ROUND(L29*#REF!, 6)*1, 2)</f>
        <v>#REF!</v>
      </c>
      <c r="N29" t="e">
        <f>#REF!</f>
        <v>#REF!</v>
      </c>
      <c r="O29" t="e">
        <f>ROUND(ROUND(L29*#REF!, 6)*#REF!, 2)</f>
        <v>#REF!</v>
      </c>
      <c r="P29" t="e">
        <f>#REF!</f>
        <v>#REF!</v>
      </c>
      <c r="Q29" t="e">
        <f>#REF!</f>
        <v>#REF!</v>
      </c>
      <c r="R29" t="e">
        <f>ROUND(ROUND(Q29*#REF!, 6)*1, 2)</f>
        <v>#REF!</v>
      </c>
      <c r="S29" t="e">
        <f>#REF!</f>
        <v>#REF!</v>
      </c>
      <c r="T29" t="e">
        <f>ROUND(ROUND(Q29*#REF!, 6)*#REF!, 2)</f>
        <v>#REF!</v>
      </c>
      <c r="U29">
        <v>3</v>
      </c>
      <c r="Z29" t="e">
        <f>#REF!</f>
        <v>#REF!</v>
      </c>
      <c r="AA29">
        <v>-633522009</v>
      </c>
      <c r="AB29">
        <v>-633522009</v>
      </c>
    </row>
    <row r="30" spans="1:28" x14ac:dyDescent="0.25">
      <c r="A30">
        <v>20</v>
      </c>
      <c r="B30">
        <v>48</v>
      </c>
      <c r="C30">
        <v>3</v>
      </c>
      <c r="D30">
        <v>0</v>
      </c>
      <c r="E30" t="e">
        <f>#REF!</f>
        <v>#REF!</v>
      </c>
      <c r="F30" t="e">
        <f>#REF!</f>
        <v>#REF!</v>
      </c>
      <c r="G30" t="e">
        <f>#REF!</f>
        <v>#REF!</v>
      </c>
      <c r="H30" t="e">
        <f>#REF!</f>
        <v>#REF!</v>
      </c>
      <c r="I30" t="e">
        <f>#REF!*#REF!</f>
        <v>#REF!</v>
      </c>
      <c r="J30" t="e">
        <f>#REF!</f>
        <v>#REF!</v>
      </c>
      <c r="K30" t="e">
        <f>#REF!</f>
        <v>#REF!</v>
      </c>
      <c r="L30" t="e">
        <f>#REF!</f>
        <v>#REF!</v>
      </c>
      <c r="M30" t="e">
        <f>ROUND(ROUND(L30*#REF!, 6)*1, 2)</f>
        <v>#REF!</v>
      </c>
      <c r="N30" t="e">
        <f>#REF!</f>
        <v>#REF!</v>
      </c>
      <c r="O30" t="e">
        <f>ROUND(ROUND(L30*#REF!, 6)*#REF!, 2)</f>
        <v>#REF!</v>
      </c>
      <c r="P30" t="e">
        <f>#REF!</f>
        <v>#REF!</v>
      </c>
      <c r="Q30" t="e">
        <f>#REF!</f>
        <v>#REF!</v>
      </c>
      <c r="R30" t="e">
        <f>ROUND(ROUND(Q30*#REF!, 6)*1, 2)</f>
        <v>#REF!</v>
      </c>
      <c r="S30" t="e">
        <f>#REF!</f>
        <v>#REF!</v>
      </c>
      <c r="T30" t="e">
        <f>ROUND(ROUND(Q30*#REF!, 6)*#REF!, 2)</f>
        <v>#REF!</v>
      </c>
      <c r="U30">
        <v>3</v>
      </c>
      <c r="Z30" t="e">
        <f>#REF!</f>
        <v>#REF!</v>
      </c>
      <c r="AA30">
        <v>-1130188072</v>
      </c>
      <c r="AB30">
        <v>-1130188072</v>
      </c>
    </row>
    <row r="31" spans="1:28" x14ac:dyDescent="0.25">
      <c r="A31">
        <v>20</v>
      </c>
      <c r="B31">
        <v>47</v>
      </c>
      <c r="C31">
        <v>3</v>
      </c>
      <c r="D31">
        <v>0</v>
      </c>
      <c r="E31" t="e">
        <f>#REF!</f>
        <v>#REF!</v>
      </c>
      <c r="F31" t="e">
        <f>#REF!</f>
        <v>#REF!</v>
      </c>
      <c r="G31" t="e">
        <f>#REF!</f>
        <v>#REF!</v>
      </c>
      <c r="H31" t="e">
        <f>#REF!</f>
        <v>#REF!</v>
      </c>
      <c r="I31" t="e">
        <f>#REF!*#REF!</f>
        <v>#REF!</v>
      </c>
      <c r="J31" t="e">
        <f>#REF!</f>
        <v>#REF!</v>
      </c>
      <c r="K31" t="e">
        <f>#REF!</f>
        <v>#REF!</v>
      </c>
      <c r="L31" t="e">
        <f>#REF!</f>
        <v>#REF!</v>
      </c>
      <c r="M31" t="e">
        <f>ROUND(ROUND(L31*#REF!, 6)*1, 2)</f>
        <v>#REF!</v>
      </c>
      <c r="N31" t="e">
        <f>#REF!</f>
        <v>#REF!</v>
      </c>
      <c r="O31" t="e">
        <f>ROUND(ROUND(L31*#REF!, 6)*#REF!, 2)</f>
        <v>#REF!</v>
      </c>
      <c r="P31" t="e">
        <f>#REF!</f>
        <v>#REF!</v>
      </c>
      <c r="Q31" t="e">
        <f>#REF!</f>
        <v>#REF!</v>
      </c>
      <c r="R31" t="e">
        <f>ROUND(ROUND(Q31*#REF!, 6)*1, 2)</f>
        <v>#REF!</v>
      </c>
      <c r="S31" t="e">
        <f>#REF!</f>
        <v>#REF!</v>
      </c>
      <c r="T31" t="e">
        <f>ROUND(ROUND(Q31*#REF!, 6)*#REF!, 2)</f>
        <v>#REF!</v>
      </c>
      <c r="U31">
        <v>3</v>
      </c>
      <c r="Z31" t="e">
        <f>#REF!</f>
        <v>#REF!</v>
      </c>
      <c r="AA31">
        <v>-1907893286</v>
      </c>
      <c r="AB31">
        <v>-1907893286</v>
      </c>
    </row>
    <row r="32" spans="1:28" x14ac:dyDescent="0.25">
      <c r="A32">
        <v>20</v>
      </c>
      <c r="B32">
        <v>52</v>
      </c>
      <c r="C32">
        <v>3</v>
      </c>
      <c r="D32">
        <v>0</v>
      </c>
      <c r="E32" t="e">
        <f>#REF!</f>
        <v>#REF!</v>
      </c>
      <c r="F32" t="e">
        <f>#REF!</f>
        <v>#REF!</v>
      </c>
      <c r="G32" t="e">
        <f>#REF!</f>
        <v>#REF!</v>
      </c>
      <c r="H32" t="e">
        <f>#REF!</f>
        <v>#REF!</v>
      </c>
      <c r="I32" t="e">
        <f>#REF!*#REF!</f>
        <v>#REF!</v>
      </c>
      <c r="J32" t="e">
        <f>#REF!</f>
        <v>#REF!</v>
      </c>
      <c r="K32" t="e">
        <f>#REF!</f>
        <v>#REF!</v>
      </c>
      <c r="L32" t="e">
        <f>#REF!</f>
        <v>#REF!</v>
      </c>
      <c r="M32" t="e">
        <f>ROUND(ROUND(L32*#REF!, 6)*1, 2)</f>
        <v>#REF!</v>
      </c>
      <c r="N32" t="e">
        <f>#REF!</f>
        <v>#REF!</v>
      </c>
      <c r="O32" t="e">
        <f>ROUND(ROUND(L32*#REF!, 6)*#REF!, 2)</f>
        <v>#REF!</v>
      </c>
      <c r="P32" t="e">
        <f>#REF!</f>
        <v>#REF!</v>
      </c>
      <c r="Q32" t="e">
        <f>#REF!</f>
        <v>#REF!</v>
      </c>
      <c r="R32" t="e">
        <f>ROUND(ROUND(Q32*#REF!, 6)*1, 2)</f>
        <v>#REF!</v>
      </c>
      <c r="S32" t="e">
        <f>#REF!</f>
        <v>#REF!</v>
      </c>
      <c r="T32" t="e">
        <f>ROUND(ROUND(Q32*#REF!, 6)*#REF!, 2)</f>
        <v>#REF!</v>
      </c>
      <c r="U32">
        <v>3</v>
      </c>
      <c r="Z32" t="e">
        <f>#REF!</f>
        <v>#REF!</v>
      </c>
      <c r="AA32">
        <v>-1219011253</v>
      </c>
      <c r="AB32">
        <v>-1219011253</v>
      </c>
    </row>
    <row r="33" spans="1:28" x14ac:dyDescent="0.25">
      <c r="A33">
        <v>20</v>
      </c>
      <c r="B33">
        <v>51</v>
      </c>
      <c r="C33">
        <v>3</v>
      </c>
      <c r="D33">
        <v>0</v>
      </c>
      <c r="E33" t="e">
        <f>#REF!</f>
        <v>#REF!</v>
      </c>
      <c r="F33" t="e">
        <f>#REF!</f>
        <v>#REF!</v>
      </c>
      <c r="G33" t="e">
        <f>#REF!</f>
        <v>#REF!</v>
      </c>
      <c r="H33" t="e">
        <f>#REF!</f>
        <v>#REF!</v>
      </c>
      <c r="I33" t="e">
        <f>#REF!*#REF!</f>
        <v>#REF!</v>
      </c>
      <c r="J33" t="e">
        <f>#REF!</f>
        <v>#REF!</v>
      </c>
      <c r="K33" t="e">
        <f>#REF!</f>
        <v>#REF!</v>
      </c>
      <c r="L33" t="e">
        <f>#REF!</f>
        <v>#REF!</v>
      </c>
      <c r="M33" t="e">
        <f>ROUND(ROUND(L33*#REF!, 6)*1, 2)</f>
        <v>#REF!</v>
      </c>
      <c r="N33" t="e">
        <f>#REF!</f>
        <v>#REF!</v>
      </c>
      <c r="O33" t="e">
        <f>ROUND(ROUND(L33*#REF!, 6)*#REF!, 2)</f>
        <v>#REF!</v>
      </c>
      <c r="P33" t="e">
        <f>#REF!</f>
        <v>#REF!</v>
      </c>
      <c r="Q33" t="e">
        <f>#REF!</f>
        <v>#REF!</v>
      </c>
      <c r="R33" t="e">
        <f>ROUND(ROUND(Q33*#REF!, 6)*1, 2)</f>
        <v>#REF!</v>
      </c>
      <c r="S33" t="e">
        <f>#REF!</f>
        <v>#REF!</v>
      </c>
      <c r="T33" t="e">
        <f>ROUND(ROUND(Q33*#REF!, 6)*#REF!, 2)</f>
        <v>#REF!</v>
      </c>
      <c r="U33">
        <v>3</v>
      </c>
      <c r="Z33" t="e">
        <f>#REF!</f>
        <v>#REF!</v>
      </c>
      <c r="AA33">
        <v>1203958368</v>
      </c>
      <c r="AB33">
        <v>1203958368</v>
      </c>
    </row>
    <row r="34" spans="1:28" x14ac:dyDescent="0.25">
      <c r="A34">
        <v>20</v>
      </c>
      <c r="B34">
        <v>55</v>
      </c>
      <c r="C34">
        <v>3</v>
      </c>
      <c r="D34">
        <v>0</v>
      </c>
      <c r="E34" t="e">
        <f>#REF!</f>
        <v>#REF!</v>
      </c>
      <c r="F34" t="e">
        <f>#REF!</f>
        <v>#REF!</v>
      </c>
      <c r="G34" t="e">
        <f>#REF!</f>
        <v>#REF!</v>
      </c>
      <c r="H34" t="e">
        <f>#REF!</f>
        <v>#REF!</v>
      </c>
      <c r="I34" t="e">
        <f>#REF!*#REF!</f>
        <v>#REF!</v>
      </c>
      <c r="J34" t="e">
        <f>#REF!</f>
        <v>#REF!</v>
      </c>
      <c r="K34" t="e">
        <f>#REF!</f>
        <v>#REF!</v>
      </c>
      <c r="L34" t="e">
        <f>#REF!</f>
        <v>#REF!</v>
      </c>
      <c r="M34" t="e">
        <f>ROUND(ROUND(L34*#REF!, 6)*1, 2)</f>
        <v>#REF!</v>
      </c>
      <c r="N34" t="e">
        <f>#REF!</f>
        <v>#REF!</v>
      </c>
      <c r="O34" t="e">
        <f>ROUND(ROUND(L34*#REF!, 6)*#REF!, 2)</f>
        <v>#REF!</v>
      </c>
      <c r="P34" t="e">
        <f>#REF!</f>
        <v>#REF!</v>
      </c>
      <c r="Q34" t="e">
        <f>#REF!</f>
        <v>#REF!</v>
      </c>
      <c r="R34" t="e">
        <f>ROUND(ROUND(Q34*#REF!, 6)*1, 2)</f>
        <v>#REF!</v>
      </c>
      <c r="S34" t="e">
        <f>#REF!</f>
        <v>#REF!</v>
      </c>
      <c r="T34" t="e">
        <f>ROUND(ROUND(Q34*#REF!, 6)*#REF!, 2)</f>
        <v>#REF!</v>
      </c>
      <c r="U34">
        <v>3</v>
      </c>
      <c r="Z34" t="e">
        <f>#REF!</f>
        <v>#REF!</v>
      </c>
      <c r="AA34">
        <v>-1219011253</v>
      </c>
      <c r="AB34">
        <v>-1219011253</v>
      </c>
    </row>
    <row r="35" spans="1:28" x14ac:dyDescent="0.25">
      <c r="A35">
        <v>20</v>
      </c>
      <c r="B35">
        <v>64</v>
      </c>
      <c r="C35">
        <v>3</v>
      </c>
      <c r="D35">
        <v>0</v>
      </c>
      <c r="E35" t="e">
        <f>#REF!</f>
        <v>#REF!</v>
      </c>
      <c r="F35" t="e">
        <f>#REF!</f>
        <v>#REF!</v>
      </c>
      <c r="G35" t="e">
        <f>#REF!</f>
        <v>#REF!</v>
      </c>
      <c r="H35" t="e">
        <f>#REF!</f>
        <v>#REF!</v>
      </c>
      <c r="I35" t="e">
        <f>#REF!*#REF!</f>
        <v>#REF!</v>
      </c>
      <c r="J35" t="e">
        <f>#REF!</f>
        <v>#REF!</v>
      </c>
      <c r="K35" t="e">
        <f>#REF!</f>
        <v>#REF!</v>
      </c>
      <c r="L35" t="e">
        <f>#REF!</f>
        <v>#REF!</v>
      </c>
      <c r="M35" t="e">
        <f>ROUND(ROUND(L35*#REF!, 6)*1, 2)</f>
        <v>#REF!</v>
      </c>
      <c r="N35" t="e">
        <f>#REF!</f>
        <v>#REF!</v>
      </c>
      <c r="O35" t="e">
        <f>ROUND(ROUND(L35*#REF!, 6)*#REF!, 2)</f>
        <v>#REF!</v>
      </c>
      <c r="P35" t="e">
        <f>#REF!</f>
        <v>#REF!</v>
      </c>
      <c r="Q35" t="e">
        <f>#REF!</f>
        <v>#REF!</v>
      </c>
      <c r="R35" t="e">
        <f>ROUND(ROUND(Q35*#REF!, 6)*1, 2)</f>
        <v>#REF!</v>
      </c>
      <c r="S35" t="e">
        <f>#REF!</f>
        <v>#REF!</v>
      </c>
      <c r="T35" t="e">
        <f>ROUND(ROUND(Q35*#REF!, 6)*#REF!, 2)</f>
        <v>#REF!</v>
      </c>
      <c r="U35">
        <v>3</v>
      </c>
      <c r="Z35" t="e">
        <f>#REF!</f>
        <v>#REF!</v>
      </c>
      <c r="AA35">
        <v>-574480071</v>
      </c>
      <c r="AB35">
        <v>-574480071</v>
      </c>
    </row>
    <row r="36" spans="1:28" x14ac:dyDescent="0.25">
      <c r="A36">
        <v>20</v>
      </c>
      <c r="B36">
        <v>63</v>
      </c>
      <c r="C36">
        <v>3</v>
      </c>
      <c r="D36">
        <v>0</v>
      </c>
      <c r="E36" t="e">
        <f>#REF!</f>
        <v>#REF!</v>
      </c>
      <c r="F36" t="e">
        <f>#REF!</f>
        <v>#REF!</v>
      </c>
      <c r="G36" t="e">
        <f>#REF!</f>
        <v>#REF!</v>
      </c>
      <c r="H36" t="e">
        <f>#REF!</f>
        <v>#REF!</v>
      </c>
      <c r="I36" t="e">
        <f>#REF!*#REF!</f>
        <v>#REF!</v>
      </c>
      <c r="J36" t="e">
        <f>#REF!</f>
        <v>#REF!</v>
      </c>
      <c r="K36" t="e">
        <f>#REF!</f>
        <v>#REF!</v>
      </c>
      <c r="L36" t="e">
        <f>#REF!</f>
        <v>#REF!</v>
      </c>
      <c r="M36" t="e">
        <f>ROUND(ROUND(L36*#REF!, 6)*1, 2)</f>
        <v>#REF!</v>
      </c>
      <c r="N36" t="e">
        <f>#REF!</f>
        <v>#REF!</v>
      </c>
      <c r="O36" t="e">
        <f>ROUND(ROUND(L36*#REF!, 6)*#REF!, 2)</f>
        <v>#REF!</v>
      </c>
      <c r="P36" t="e">
        <f>#REF!</f>
        <v>#REF!</v>
      </c>
      <c r="Q36" t="e">
        <f>#REF!</f>
        <v>#REF!</v>
      </c>
      <c r="R36" t="e">
        <f>ROUND(ROUND(Q36*#REF!, 6)*1, 2)</f>
        <v>#REF!</v>
      </c>
      <c r="S36" t="e">
        <f>#REF!</f>
        <v>#REF!</v>
      </c>
      <c r="T36" t="e">
        <f>ROUND(ROUND(Q36*#REF!, 6)*#REF!, 2)</f>
        <v>#REF!</v>
      </c>
      <c r="U36">
        <v>3</v>
      </c>
      <c r="Z36" t="e">
        <f>#REF!</f>
        <v>#REF!</v>
      </c>
      <c r="AA36">
        <v>-1669651820</v>
      </c>
      <c r="AB36">
        <v>-1669651820</v>
      </c>
    </row>
    <row r="37" spans="1:28" x14ac:dyDescent="0.25">
      <c r="A37">
        <v>20</v>
      </c>
      <c r="B37">
        <v>62</v>
      </c>
      <c r="C37">
        <v>3</v>
      </c>
      <c r="D37">
        <v>0</v>
      </c>
      <c r="E37" t="e">
        <f>#REF!</f>
        <v>#REF!</v>
      </c>
      <c r="F37" t="e">
        <f>#REF!</f>
        <v>#REF!</v>
      </c>
      <c r="G37" t="e">
        <f>#REF!</f>
        <v>#REF!</v>
      </c>
      <c r="H37" t="e">
        <f>#REF!</f>
        <v>#REF!</v>
      </c>
      <c r="I37" t="e">
        <f>#REF!*#REF!</f>
        <v>#REF!</v>
      </c>
      <c r="J37" t="e">
        <f>#REF!</f>
        <v>#REF!</v>
      </c>
      <c r="K37" t="e">
        <f>#REF!</f>
        <v>#REF!</v>
      </c>
      <c r="L37" t="e">
        <f>#REF!</f>
        <v>#REF!</v>
      </c>
      <c r="M37" t="e">
        <f>ROUND(ROUND(L37*#REF!, 6)*1, 2)</f>
        <v>#REF!</v>
      </c>
      <c r="N37" t="e">
        <f>#REF!</f>
        <v>#REF!</v>
      </c>
      <c r="O37" t="e">
        <f>ROUND(ROUND(L37*#REF!, 6)*#REF!, 2)</f>
        <v>#REF!</v>
      </c>
      <c r="P37" t="e">
        <f>#REF!</f>
        <v>#REF!</v>
      </c>
      <c r="Q37" t="e">
        <f>#REF!</f>
        <v>#REF!</v>
      </c>
      <c r="R37" t="e">
        <f>ROUND(ROUND(Q37*#REF!, 6)*1, 2)</f>
        <v>#REF!</v>
      </c>
      <c r="S37" t="e">
        <f>#REF!</f>
        <v>#REF!</v>
      </c>
      <c r="T37" t="e">
        <f>ROUND(ROUND(Q37*#REF!, 6)*#REF!, 2)</f>
        <v>#REF!</v>
      </c>
      <c r="U37">
        <v>3</v>
      </c>
      <c r="Z37" t="e">
        <f>#REF!</f>
        <v>#REF!</v>
      </c>
      <c r="AA37">
        <v>131371071</v>
      </c>
      <c r="AB37">
        <v>131371071</v>
      </c>
    </row>
    <row r="38" spans="1:28" x14ac:dyDescent="0.25">
      <c r="A38">
        <v>20</v>
      </c>
      <c r="B38">
        <v>60</v>
      </c>
      <c r="C38">
        <v>3</v>
      </c>
      <c r="D38">
        <v>0</v>
      </c>
      <c r="E38" t="e">
        <f>#REF!</f>
        <v>#REF!</v>
      </c>
      <c r="F38" t="e">
        <f>#REF!</f>
        <v>#REF!</v>
      </c>
      <c r="G38" t="e">
        <f>#REF!</f>
        <v>#REF!</v>
      </c>
      <c r="H38" t="e">
        <f>#REF!</f>
        <v>#REF!</v>
      </c>
      <c r="I38" t="e">
        <f>#REF!*#REF!</f>
        <v>#REF!</v>
      </c>
      <c r="J38" t="e">
        <f>#REF!</f>
        <v>#REF!</v>
      </c>
      <c r="K38" t="e">
        <f>#REF!</f>
        <v>#REF!</v>
      </c>
      <c r="L38" t="e">
        <f>#REF!</f>
        <v>#REF!</v>
      </c>
      <c r="M38" t="e">
        <f>ROUND(ROUND(L38*#REF!, 6)*1, 2)</f>
        <v>#REF!</v>
      </c>
      <c r="N38" t="e">
        <f>#REF!</f>
        <v>#REF!</v>
      </c>
      <c r="O38" t="e">
        <f>ROUND(ROUND(L38*#REF!, 6)*#REF!, 2)</f>
        <v>#REF!</v>
      </c>
      <c r="P38" t="e">
        <f>#REF!</f>
        <v>#REF!</v>
      </c>
      <c r="Q38" t="e">
        <f>#REF!</f>
        <v>#REF!</v>
      </c>
      <c r="R38" t="e">
        <f>ROUND(ROUND(Q38*#REF!, 6)*1, 2)</f>
        <v>#REF!</v>
      </c>
      <c r="S38" t="e">
        <f>#REF!</f>
        <v>#REF!</v>
      </c>
      <c r="T38" t="e">
        <f>ROUND(ROUND(Q38*#REF!, 6)*#REF!, 2)</f>
        <v>#REF!</v>
      </c>
      <c r="U38">
        <v>3</v>
      </c>
      <c r="Z38" t="e">
        <f>#REF!</f>
        <v>#REF!</v>
      </c>
      <c r="AA38">
        <v>1203958368</v>
      </c>
      <c r="AB38">
        <v>1203958368</v>
      </c>
    </row>
    <row r="39" spans="1:28" x14ac:dyDescent="0.25">
      <c r="A39" t="e">
        <f>#REF!</f>
        <v>#REF!</v>
      </c>
      <c r="B39">
        <v>83</v>
      </c>
      <c r="C39">
        <v>3</v>
      </c>
      <c r="D39" t="e">
        <f>#REF!</f>
        <v>#REF!</v>
      </c>
      <c r="E39" t="e">
        <f>#REF!</f>
        <v>#REF!</v>
      </c>
      <c r="F39" t="e">
        <f>#REF!</f>
        <v>#REF!</v>
      </c>
      <c r="G39" t="e">
        <f>#REF!</f>
        <v>#REF!</v>
      </c>
      <c r="H39" t="e">
        <f>#REF!</f>
        <v>#REF!</v>
      </c>
      <c r="I39" t="e">
        <f>#REF!</f>
        <v>#REF!</v>
      </c>
      <c r="J39">
        <v>1</v>
      </c>
      <c r="K39" t="e">
        <f>#REF!</f>
        <v>#REF!</v>
      </c>
      <c r="M39" t="e">
        <f>ROUND(K39*I39, 2)</f>
        <v>#REF!</v>
      </c>
      <c r="N39" t="e">
        <f>#REF!*IF(#REF!&lt;&gt; 0,#REF!, 1)</f>
        <v>#REF!</v>
      </c>
      <c r="O39" t="e">
        <f>ROUND(N39*I39, 2)</f>
        <v>#REF!</v>
      </c>
      <c r="P39" t="e">
        <f>#REF!</f>
        <v>#REF!</v>
      </c>
      <c r="R39" t="e">
        <f>ROUND(P39*I39, 2)</f>
        <v>#REF!</v>
      </c>
      <c r="S39" t="e">
        <f>#REF!*IF(#REF!&lt;&gt; 0,#REF!, 1)</f>
        <v>#REF!</v>
      </c>
      <c r="T39" t="e">
        <f>ROUND(S39*I39, 2)</f>
        <v>#REF!</v>
      </c>
      <c r="U39">
        <v>3</v>
      </c>
      <c r="Z39" t="e">
        <f>#REF!</f>
        <v>#REF!</v>
      </c>
      <c r="AA39">
        <v>-967193880</v>
      </c>
      <c r="AB39">
        <v>-967193880</v>
      </c>
    </row>
    <row r="40" spans="1:28" x14ac:dyDescent="0.25">
      <c r="A40" t="e">
        <f>#REF!</f>
        <v>#REF!</v>
      </c>
      <c r="B40">
        <v>84</v>
      </c>
      <c r="C40">
        <v>3</v>
      </c>
      <c r="D40" t="e">
        <f>#REF!</f>
        <v>#REF!</v>
      </c>
      <c r="E40" t="e">
        <f>#REF!</f>
        <v>#REF!</v>
      </c>
      <c r="F40" t="e">
        <f>#REF!</f>
        <v>#REF!</v>
      </c>
      <c r="G40" t="e">
        <f>#REF!</f>
        <v>#REF!</v>
      </c>
      <c r="H40" t="e">
        <f>#REF!</f>
        <v>#REF!</v>
      </c>
      <c r="I40" t="e">
        <f>#REF!</f>
        <v>#REF!</v>
      </c>
      <c r="J40">
        <v>1</v>
      </c>
      <c r="K40" t="e">
        <f>#REF!</f>
        <v>#REF!</v>
      </c>
      <c r="M40" t="e">
        <f>ROUND(K40*I40, 2)</f>
        <v>#REF!</v>
      </c>
      <c r="N40" t="e">
        <f>#REF!*IF(#REF!&lt;&gt; 0,#REF!, 1)</f>
        <v>#REF!</v>
      </c>
      <c r="O40" t="e">
        <f>ROUND(N40*I40, 2)</f>
        <v>#REF!</v>
      </c>
      <c r="P40" t="e">
        <f>#REF!</f>
        <v>#REF!</v>
      </c>
      <c r="R40" t="e">
        <f>ROUND(P40*I40, 2)</f>
        <v>#REF!</v>
      </c>
      <c r="S40" t="e">
        <f>#REF!*IF(#REF!&lt;&gt; 0,#REF!, 1)</f>
        <v>#REF!</v>
      </c>
      <c r="T40" t="e">
        <f>ROUND(S40*I40, 2)</f>
        <v>#REF!</v>
      </c>
      <c r="U40">
        <v>3</v>
      </c>
      <c r="Z40" t="e">
        <f>#REF!</f>
        <v>#REF!</v>
      </c>
      <c r="AA40">
        <v>2110064561</v>
      </c>
      <c r="AB40">
        <v>2110064561</v>
      </c>
    </row>
    <row r="41" spans="1:28" x14ac:dyDescent="0.25">
      <c r="A41">
        <v>20</v>
      </c>
      <c r="B41">
        <v>75</v>
      </c>
      <c r="C41">
        <v>3</v>
      </c>
      <c r="D41">
        <v>0</v>
      </c>
      <c r="E41" t="e">
        <f>#REF!</f>
        <v>#REF!</v>
      </c>
      <c r="F41" t="e">
        <f>#REF!</f>
        <v>#REF!</v>
      </c>
      <c r="G41" t="e">
        <f>#REF!</f>
        <v>#REF!</v>
      </c>
      <c r="H41" t="e">
        <f>#REF!</f>
        <v>#REF!</v>
      </c>
      <c r="I41" t="e">
        <f>#REF!*#REF!</f>
        <v>#REF!</v>
      </c>
      <c r="J41" t="e">
        <f>#REF!</f>
        <v>#REF!</v>
      </c>
      <c r="K41" t="e">
        <f>#REF!</f>
        <v>#REF!</v>
      </c>
      <c r="L41" t="e">
        <f>#REF!</f>
        <v>#REF!</v>
      </c>
      <c r="M41" t="e">
        <f>ROUND(ROUND(L41*#REF!, 6)*1, 2)</f>
        <v>#REF!</v>
      </c>
      <c r="N41" t="e">
        <f>#REF!</f>
        <v>#REF!</v>
      </c>
      <c r="O41" t="e">
        <f>ROUND(ROUND(L41*#REF!, 6)*#REF!, 2)</f>
        <v>#REF!</v>
      </c>
      <c r="P41" t="e">
        <f>#REF!</f>
        <v>#REF!</v>
      </c>
      <c r="Q41" t="e">
        <f>#REF!</f>
        <v>#REF!</v>
      </c>
      <c r="R41" t="e">
        <f>ROUND(ROUND(Q41*#REF!, 6)*1, 2)</f>
        <v>#REF!</v>
      </c>
      <c r="S41" t="e">
        <f>#REF!</f>
        <v>#REF!</v>
      </c>
      <c r="T41" t="e">
        <f>ROUND(ROUND(Q41*#REF!, 6)*#REF!, 2)</f>
        <v>#REF!</v>
      </c>
      <c r="U41">
        <v>3</v>
      </c>
      <c r="Z41" t="e">
        <f>#REF!</f>
        <v>#REF!</v>
      </c>
      <c r="AA41">
        <v>-574480071</v>
      </c>
      <c r="AB41">
        <v>-574480071</v>
      </c>
    </row>
    <row r="42" spans="1:28" x14ac:dyDescent="0.25">
      <c r="A42">
        <v>20</v>
      </c>
      <c r="B42">
        <v>74</v>
      </c>
      <c r="C42">
        <v>3</v>
      </c>
      <c r="D42">
        <v>0</v>
      </c>
      <c r="E42" t="e">
        <f>#REF!</f>
        <v>#REF!</v>
      </c>
      <c r="F42" t="e">
        <f>#REF!</f>
        <v>#REF!</v>
      </c>
      <c r="G42" t="e">
        <f>#REF!</f>
        <v>#REF!</v>
      </c>
      <c r="H42" t="e">
        <f>#REF!</f>
        <v>#REF!</v>
      </c>
      <c r="I42" t="e">
        <f>#REF!*#REF!</f>
        <v>#REF!</v>
      </c>
      <c r="J42" t="e">
        <f>#REF!</f>
        <v>#REF!</v>
      </c>
      <c r="K42" t="e">
        <f>#REF!</f>
        <v>#REF!</v>
      </c>
      <c r="L42" t="e">
        <f>#REF!</f>
        <v>#REF!</v>
      </c>
      <c r="M42" t="e">
        <f>ROUND(ROUND(L42*#REF!, 6)*1, 2)</f>
        <v>#REF!</v>
      </c>
      <c r="N42" t="e">
        <f>#REF!</f>
        <v>#REF!</v>
      </c>
      <c r="O42" t="e">
        <f>ROUND(ROUND(L42*#REF!, 6)*#REF!, 2)</f>
        <v>#REF!</v>
      </c>
      <c r="P42" t="e">
        <f>#REF!</f>
        <v>#REF!</v>
      </c>
      <c r="Q42" t="e">
        <f>#REF!</f>
        <v>#REF!</v>
      </c>
      <c r="R42" t="e">
        <f>ROUND(ROUND(Q42*#REF!, 6)*1, 2)</f>
        <v>#REF!</v>
      </c>
      <c r="S42" t="e">
        <f>#REF!</f>
        <v>#REF!</v>
      </c>
      <c r="T42" t="e">
        <f>ROUND(ROUND(Q42*#REF!, 6)*#REF!, 2)</f>
        <v>#REF!</v>
      </c>
      <c r="U42">
        <v>3</v>
      </c>
      <c r="Z42" t="e">
        <f>#REF!</f>
        <v>#REF!</v>
      </c>
      <c r="AA42">
        <v>-1669651820</v>
      </c>
      <c r="AB42">
        <v>-1669651820</v>
      </c>
    </row>
    <row r="43" spans="1:28" x14ac:dyDescent="0.25">
      <c r="A43">
        <v>20</v>
      </c>
      <c r="B43">
        <v>73</v>
      </c>
      <c r="C43">
        <v>3</v>
      </c>
      <c r="D43">
        <v>0</v>
      </c>
      <c r="E43" t="e">
        <f>#REF!</f>
        <v>#REF!</v>
      </c>
      <c r="F43" t="e">
        <f>#REF!</f>
        <v>#REF!</v>
      </c>
      <c r="G43" t="e">
        <f>#REF!</f>
        <v>#REF!</v>
      </c>
      <c r="H43" t="e">
        <f>#REF!</f>
        <v>#REF!</v>
      </c>
      <c r="I43" t="e">
        <f>#REF!*#REF!</f>
        <v>#REF!</v>
      </c>
      <c r="J43" t="e">
        <f>#REF!</f>
        <v>#REF!</v>
      </c>
      <c r="K43" t="e">
        <f>#REF!</f>
        <v>#REF!</v>
      </c>
      <c r="L43" t="e">
        <f>#REF!</f>
        <v>#REF!</v>
      </c>
      <c r="M43" t="e">
        <f>ROUND(ROUND(L43*#REF!, 6)*1, 2)</f>
        <v>#REF!</v>
      </c>
      <c r="N43" t="e">
        <f>#REF!</f>
        <v>#REF!</v>
      </c>
      <c r="O43" t="e">
        <f>ROUND(ROUND(L43*#REF!, 6)*#REF!, 2)</f>
        <v>#REF!</v>
      </c>
      <c r="P43" t="e">
        <f>#REF!</f>
        <v>#REF!</v>
      </c>
      <c r="Q43" t="e">
        <f>#REF!</f>
        <v>#REF!</v>
      </c>
      <c r="R43" t="e">
        <f>ROUND(ROUND(Q43*#REF!, 6)*1, 2)</f>
        <v>#REF!</v>
      </c>
      <c r="S43" t="e">
        <f>#REF!</f>
        <v>#REF!</v>
      </c>
      <c r="T43" t="e">
        <f>ROUND(ROUND(Q43*#REF!, 6)*#REF!, 2)</f>
        <v>#REF!</v>
      </c>
      <c r="U43">
        <v>3</v>
      </c>
      <c r="Z43" t="e">
        <f>#REF!</f>
        <v>#REF!</v>
      </c>
      <c r="AA43">
        <v>131371071</v>
      </c>
      <c r="AB43">
        <v>131371071</v>
      </c>
    </row>
    <row r="44" spans="1:28" x14ac:dyDescent="0.25">
      <c r="A44">
        <v>20</v>
      </c>
      <c r="B44">
        <v>71</v>
      </c>
      <c r="C44">
        <v>3</v>
      </c>
      <c r="D44">
        <v>0</v>
      </c>
      <c r="E44" t="e">
        <f>#REF!</f>
        <v>#REF!</v>
      </c>
      <c r="F44" t="e">
        <f>#REF!</f>
        <v>#REF!</v>
      </c>
      <c r="G44" t="e">
        <f>#REF!</f>
        <v>#REF!</v>
      </c>
      <c r="H44" t="e">
        <f>#REF!</f>
        <v>#REF!</v>
      </c>
      <c r="I44" t="e">
        <f>#REF!*#REF!</f>
        <v>#REF!</v>
      </c>
      <c r="J44" t="e">
        <f>#REF!</f>
        <v>#REF!</v>
      </c>
      <c r="K44" t="e">
        <f>#REF!</f>
        <v>#REF!</v>
      </c>
      <c r="L44" t="e">
        <f>#REF!</f>
        <v>#REF!</v>
      </c>
      <c r="M44" t="e">
        <f>ROUND(ROUND(L44*#REF!, 6)*1, 2)</f>
        <v>#REF!</v>
      </c>
      <c r="N44" t="e">
        <f>#REF!</f>
        <v>#REF!</v>
      </c>
      <c r="O44" t="e">
        <f>ROUND(ROUND(L44*#REF!, 6)*#REF!, 2)</f>
        <v>#REF!</v>
      </c>
      <c r="P44" t="e">
        <f>#REF!</f>
        <v>#REF!</v>
      </c>
      <c r="Q44" t="e">
        <f>#REF!</f>
        <v>#REF!</v>
      </c>
      <c r="R44" t="e">
        <f>ROUND(ROUND(Q44*#REF!, 6)*1, 2)</f>
        <v>#REF!</v>
      </c>
      <c r="S44" t="e">
        <f>#REF!</f>
        <v>#REF!</v>
      </c>
      <c r="T44" t="e">
        <f>ROUND(ROUND(Q44*#REF!, 6)*#REF!, 2)</f>
        <v>#REF!</v>
      </c>
      <c r="U44">
        <v>3</v>
      </c>
      <c r="Z44" t="e">
        <f>#REF!</f>
        <v>#REF!</v>
      </c>
      <c r="AA44">
        <v>1203958368</v>
      </c>
      <c r="AB44">
        <v>1203958368</v>
      </c>
    </row>
    <row r="45" spans="1:28" x14ac:dyDescent="0.25">
      <c r="A45" t="e">
        <f>#REF!</f>
        <v>#REF!</v>
      </c>
      <c r="B45">
        <v>87</v>
      </c>
      <c r="C45">
        <v>3</v>
      </c>
      <c r="D45" t="e">
        <f>#REF!</f>
        <v>#REF!</v>
      </c>
      <c r="E45" t="e">
        <f>#REF!</f>
        <v>#REF!</v>
      </c>
      <c r="F45" t="e">
        <f>#REF!</f>
        <v>#REF!</v>
      </c>
      <c r="G45" t="e">
        <f>#REF!</f>
        <v>#REF!</v>
      </c>
      <c r="H45" t="e">
        <f>#REF!</f>
        <v>#REF!</v>
      </c>
      <c r="I45" t="e">
        <f>#REF!</f>
        <v>#REF!</v>
      </c>
      <c r="J45">
        <v>1</v>
      </c>
      <c r="K45" t="e">
        <f>#REF!</f>
        <v>#REF!</v>
      </c>
      <c r="M45" t="e">
        <f>ROUND(K45*I45, 2)</f>
        <v>#REF!</v>
      </c>
      <c r="N45" t="e">
        <f>#REF!*IF(#REF!&lt;&gt; 0,#REF!, 1)</f>
        <v>#REF!</v>
      </c>
      <c r="O45" t="e">
        <f>ROUND(N45*I45, 2)</f>
        <v>#REF!</v>
      </c>
      <c r="P45" t="e">
        <f>#REF!</f>
        <v>#REF!</v>
      </c>
      <c r="R45" t="e">
        <f>ROUND(P45*I45, 2)</f>
        <v>#REF!</v>
      </c>
      <c r="S45" t="e">
        <f>#REF!*IF(#REF!&lt;&gt; 0,#REF!, 1)</f>
        <v>#REF!</v>
      </c>
      <c r="T45" t="e">
        <f>ROUND(S45*I45, 2)</f>
        <v>#REF!</v>
      </c>
      <c r="U45">
        <v>3</v>
      </c>
      <c r="Z45" t="e">
        <f>#REF!</f>
        <v>#REF!</v>
      </c>
      <c r="AA45">
        <v>2110064561</v>
      </c>
      <c r="AB45">
        <v>2110064561</v>
      </c>
    </row>
    <row r="46" spans="1:28" x14ac:dyDescent="0.25">
      <c r="A46">
        <v>20</v>
      </c>
      <c r="B46">
        <v>87</v>
      </c>
      <c r="C46">
        <v>3</v>
      </c>
      <c r="D46">
        <v>0</v>
      </c>
      <c r="E46" t="e">
        <f>#REF!</f>
        <v>#REF!</v>
      </c>
      <c r="F46" t="e">
        <f>#REF!</f>
        <v>#REF!</v>
      </c>
      <c r="G46" t="e">
        <f>#REF!</f>
        <v>#REF!</v>
      </c>
      <c r="H46" t="e">
        <f>#REF!</f>
        <v>#REF!</v>
      </c>
      <c r="I46" t="e">
        <f>#REF!*#REF!</f>
        <v>#REF!</v>
      </c>
      <c r="J46" t="e">
        <f>#REF!</f>
        <v>#REF!</v>
      </c>
      <c r="K46" t="e">
        <f>#REF!</f>
        <v>#REF!</v>
      </c>
      <c r="L46" t="e">
        <f>#REF!</f>
        <v>#REF!</v>
      </c>
      <c r="M46" t="e">
        <f>ROUND(ROUND(L46*#REF!, 6)*1, 2)</f>
        <v>#REF!</v>
      </c>
      <c r="N46" t="e">
        <f>#REF!</f>
        <v>#REF!</v>
      </c>
      <c r="O46" t="e">
        <f>ROUND(ROUND(L46*#REF!, 6)*#REF!, 2)</f>
        <v>#REF!</v>
      </c>
      <c r="P46" t="e">
        <f>#REF!</f>
        <v>#REF!</v>
      </c>
      <c r="Q46" t="e">
        <f>#REF!</f>
        <v>#REF!</v>
      </c>
      <c r="R46" t="e">
        <f>ROUND(ROUND(Q46*#REF!, 6)*1, 2)</f>
        <v>#REF!</v>
      </c>
      <c r="S46" t="e">
        <f>#REF!</f>
        <v>#REF!</v>
      </c>
      <c r="T46" t="e">
        <f>ROUND(ROUND(Q46*#REF!, 6)*#REF!, 2)</f>
        <v>#REF!</v>
      </c>
      <c r="U46">
        <v>3</v>
      </c>
      <c r="Z46" t="e">
        <f>#REF!</f>
        <v>#REF!</v>
      </c>
      <c r="AA46">
        <v>-574480071</v>
      </c>
      <c r="AB46">
        <v>-574480071</v>
      </c>
    </row>
    <row r="47" spans="1:28" x14ac:dyDescent="0.25">
      <c r="A47">
        <v>20</v>
      </c>
      <c r="B47">
        <v>86</v>
      </c>
      <c r="C47">
        <v>3</v>
      </c>
      <c r="D47">
        <v>0</v>
      </c>
      <c r="E47" t="e">
        <f>#REF!</f>
        <v>#REF!</v>
      </c>
      <c r="F47" t="e">
        <f>#REF!</f>
        <v>#REF!</v>
      </c>
      <c r="G47" t="e">
        <f>#REF!</f>
        <v>#REF!</v>
      </c>
      <c r="H47" t="e">
        <f>#REF!</f>
        <v>#REF!</v>
      </c>
      <c r="I47" t="e">
        <f>#REF!*#REF!</f>
        <v>#REF!</v>
      </c>
      <c r="J47" t="e">
        <f>#REF!</f>
        <v>#REF!</v>
      </c>
      <c r="K47" t="e">
        <f>#REF!</f>
        <v>#REF!</v>
      </c>
      <c r="L47" t="e">
        <f>#REF!</f>
        <v>#REF!</v>
      </c>
      <c r="M47" t="e">
        <f>ROUND(ROUND(L47*#REF!, 6)*1, 2)</f>
        <v>#REF!</v>
      </c>
      <c r="N47" t="e">
        <f>#REF!</f>
        <v>#REF!</v>
      </c>
      <c r="O47" t="e">
        <f>ROUND(ROUND(L47*#REF!, 6)*#REF!, 2)</f>
        <v>#REF!</v>
      </c>
      <c r="P47" t="e">
        <f>#REF!</f>
        <v>#REF!</v>
      </c>
      <c r="Q47" t="e">
        <f>#REF!</f>
        <v>#REF!</v>
      </c>
      <c r="R47" t="e">
        <f>ROUND(ROUND(Q47*#REF!, 6)*1, 2)</f>
        <v>#REF!</v>
      </c>
      <c r="S47" t="e">
        <f>#REF!</f>
        <v>#REF!</v>
      </c>
      <c r="T47" t="e">
        <f>ROUND(ROUND(Q47*#REF!, 6)*#REF!, 2)</f>
        <v>#REF!</v>
      </c>
      <c r="U47">
        <v>3</v>
      </c>
      <c r="Z47" t="e">
        <f>#REF!</f>
        <v>#REF!</v>
      </c>
      <c r="AA47">
        <v>-1669651820</v>
      </c>
      <c r="AB47">
        <v>-1669651820</v>
      </c>
    </row>
    <row r="48" spans="1:28" x14ac:dyDescent="0.25">
      <c r="A48">
        <v>20</v>
      </c>
      <c r="B48">
        <v>85</v>
      </c>
      <c r="C48">
        <v>3</v>
      </c>
      <c r="D48">
        <v>0</v>
      </c>
      <c r="E48" t="e">
        <f>#REF!</f>
        <v>#REF!</v>
      </c>
      <c r="F48" t="e">
        <f>#REF!</f>
        <v>#REF!</v>
      </c>
      <c r="G48" t="e">
        <f>#REF!</f>
        <v>#REF!</v>
      </c>
      <c r="H48" t="e">
        <f>#REF!</f>
        <v>#REF!</v>
      </c>
      <c r="I48" t="e">
        <f>#REF!*#REF!</f>
        <v>#REF!</v>
      </c>
      <c r="J48" t="e">
        <f>#REF!</f>
        <v>#REF!</v>
      </c>
      <c r="K48" t="e">
        <f>#REF!</f>
        <v>#REF!</v>
      </c>
      <c r="L48" t="e">
        <f>#REF!</f>
        <v>#REF!</v>
      </c>
      <c r="M48" t="e">
        <f>ROUND(ROUND(L48*#REF!, 6)*1, 2)</f>
        <v>#REF!</v>
      </c>
      <c r="N48" t="e">
        <f>#REF!</f>
        <v>#REF!</v>
      </c>
      <c r="O48" t="e">
        <f>ROUND(ROUND(L48*#REF!, 6)*#REF!, 2)</f>
        <v>#REF!</v>
      </c>
      <c r="P48" t="e">
        <f>#REF!</f>
        <v>#REF!</v>
      </c>
      <c r="Q48" t="e">
        <f>#REF!</f>
        <v>#REF!</v>
      </c>
      <c r="R48" t="e">
        <f>ROUND(ROUND(Q48*#REF!, 6)*1, 2)</f>
        <v>#REF!</v>
      </c>
      <c r="S48" t="e">
        <f>#REF!</f>
        <v>#REF!</v>
      </c>
      <c r="T48" t="e">
        <f>ROUND(ROUND(Q48*#REF!, 6)*#REF!, 2)</f>
        <v>#REF!</v>
      </c>
      <c r="U48">
        <v>3</v>
      </c>
      <c r="Z48" t="e">
        <f>#REF!</f>
        <v>#REF!</v>
      </c>
      <c r="AA48">
        <v>131371071</v>
      </c>
      <c r="AB48">
        <v>131371071</v>
      </c>
    </row>
    <row r="49" spans="1:28" x14ac:dyDescent="0.25">
      <c r="A49">
        <v>20</v>
      </c>
      <c r="B49">
        <v>83</v>
      </c>
      <c r="C49">
        <v>3</v>
      </c>
      <c r="D49">
        <v>0</v>
      </c>
      <c r="E49" t="e">
        <f>#REF!</f>
        <v>#REF!</v>
      </c>
      <c r="F49" t="e">
        <f>#REF!</f>
        <v>#REF!</v>
      </c>
      <c r="G49" t="e">
        <f>#REF!</f>
        <v>#REF!</v>
      </c>
      <c r="H49" t="e">
        <f>#REF!</f>
        <v>#REF!</v>
      </c>
      <c r="I49" t="e">
        <f>#REF!*#REF!</f>
        <v>#REF!</v>
      </c>
      <c r="J49" t="e">
        <f>#REF!</f>
        <v>#REF!</v>
      </c>
      <c r="K49" t="e">
        <f>#REF!</f>
        <v>#REF!</v>
      </c>
      <c r="L49" t="e">
        <f>#REF!</f>
        <v>#REF!</v>
      </c>
      <c r="M49" t="e">
        <f>ROUND(ROUND(L49*#REF!, 6)*1, 2)</f>
        <v>#REF!</v>
      </c>
      <c r="N49" t="e">
        <f>#REF!</f>
        <v>#REF!</v>
      </c>
      <c r="O49" t="e">
        <f>ROUND(ROUND(L49*#REF!, 6)*#REF!, 2)</f>
        <v>#REF!</v>
      </c>
      <c r="P49" t="e">
        <f>#REF!</f>
        <v>#REF!</v>
      </c>
      <c r="Q49" t="e">
        <f>#REF!</f>
        <v>#REF!</v>
      </c>
      <c r="R49" t="e">
        <f>ROUND(ROUND(Q49*#REF!, 6)*1, 2)</f>
        <v>#REF!</v>
      </c>
      <c r="S49" t="e">
        <f>#REF!</f>
        <v>#REF!</v>
      </c>
      <c r="T49" t="e">
        <f>ROUND(ROUND(Q49*#REF!, 6)*#REF!, 2)</f>
        <v>#REF!</v>
      </c>
      <c r="U49">
        <v>3</v>
      </c>
      <c r="Z49" t="e">
        <f>#REF!</f>
        <v>#REF!</v>
      </c>
      <c r="AA49">
        <v>1203958368</v>
      </c>
      <c r="AB49">
        <v>1203958368</v>
      </c>
    </row>
    <row r="50" spans="1:28" x14ac:dyDescent="0.25">
      <c r="A50">
        <v>20</v>
      </c>
      <c r="B50">
        <v>82</v>
      </c>
      <c r="C50">
        <v>3</v>
      </c>
      <c r="D50">
        <v>0</v>
      </c>
      <c r="E50" t="e">
        <f>#REF!</f>
        <v>#REF!</v>
      </c>
      <c r="F50" t="e">
        <f>#REF!</f>
        <v>#REF!</v>
      </c>
      <c r="G50" t="e">
        <f>#REF!</f>
        <v>#REF!</v>
      </c>
      <c r="H50" t="e">
        <f>#REF!</f>
        <v>#REF!</v>
      </c>
      <c r="I50" t="e">
        <f>#REF!*#REF!</f>
        <v>#REF!</v>
      </c>
      <c r="J50" t="e">
        <f>#REF!</f>
        <v>#REF!</v>
      </c>
      <c r="K50" t="e">
        <f>#REF!</f>
        <v>#REF!</v>
      </c>
      <c r="L50" t="e">
        <f>#REF!</f>
        <v>#REF!</v>
      </c>
      <c r="M50" t="e">
        <f>ROUND(ROUND(L50*#REF!, 6)*1, 2)</f>
        <v>#REF!</v>
      </c>
      <c r="N50" t="e">
        <f>#REF!</f>
        <v>#REF!</v>
      </c>
      <c r="O50" t="e">
        <f>ROUND(ROUND(L50*#REF!, 6)*#REF!, 2)</f>
        <v>#REF!</v>
      </c>
      <c r="P50" t="e">
        <f>#REF!</f>
        <v>#REF!</v>
      </c>
      <c r="Q50" t="e">
        <f>#REF!</f>
        <v>#REF!</v>
      </c>
      <c r="R50" t="e">
        <f>ROUND(ROUND(Q50*#REF!, 6)*1, 2)</f>
        <v>#REF!</v>
      </c>
      <c r="S50" t="e">
        <f>#REF!</f>
        <v>#REF!</v>
      </c>
      <c r="T50" t="e">
        <f>ROUND(ROUND(Q50*#REF!, 6)*#REF!, 2)</f>
        <v>#REF!</v>
      </c>
      <c r="U50">
        <v>3</v>
      </c>
      <c r="Z50" t="e">
        <f>#REF!</f>
        <v>#REF!</v>
      </c>
      <c r="AA50">
        <v>156568662</v>
      </c>
      <c r="AB50">
        <v>156568662</v>
      </c>
    </row>
    <row r="51" spans="1:28" x14ac:dyDescent="0.25">
      <c r="A51" t="e">
        <f>#REF!</f>
        <v>#REF!</v>
      </c>
      <c r="B51">
        <v>90</v>
      </c>
      <c r="C51">
        <v>3</v>
      </c>
      <c r="D51" t="e">
        <f>#REF!</f>
        <v>#REF!</v>
      </c>
      <c r="E51" t="e">
        <f>#REF!</f>
        <v>#REF!</v>
      </c>
      <c r="F51" t="e">
        <f>#REF!</f>
        <v>#REF!</v>
      </c>
      <c r="G51" t="e">
        <f>#REF!</f>
        <v>#REF!</v>
      </c>
      <c r="H51" t="e">
        <f>#REF!</f>
        <v>#REF!</v>
      </c>
      <c r="I51" t="e">
        <f>#REF!</f>
        <v>#REF!</v>
      </c>
      <c r="J51">
        <v>1</v>
      </c>
      <c r="K51" t="e">
        <f>#REF!</f>
        <v>#REF!</v>
      </c>
      <c r="M51" t="e">
        <f>ROUND(K51*I51, 2)</f>
        <v>#REF!</v>
      </c>
      <c r="N51" t="e">
        <f>#REF!*IF(#REF!&lt;&gt; 0,#REF!, 1)</f>
        <v>#REF!</v>
      </c>
      <c r="O51" t="e">
        <f>ROUND(N51*I51, 2)</f>
        <v>#REF!</v>
      </c>
      <c r="P51" t="e">
        <f>#REF!</f>
        <v>#REF!</v>
      </c>
      <c r="R51" t="e">
        <f>ROUND(P51*I51, 2)</f>
        <v>#REF!</v>
      </c>
      <c r="S51" t="e">
        <f>#REF!*IF(#REF!&lt;&gt; 0,#REF!, 1)</f>
        <v>#REF!</v>
      </c>
      <c r="T51" t="e">
        <f>ROUND(S51*I51, 2)</f>
        <v>#REF!</v>
      </c>
      <c r="U51">
        <v>3</v>
      </c>
      <c r="Z51" t="e">
        <f>#REF!</f>
        <v>#REF!</v>
      </c>
      <c r="AA51">
        <v>2110064561</v>
      </c>
      <c r="AB51">
        <v>2110064561</v>
      </c>
    </row>
    <row r="52" spans="1:28" x14ac:dyDescent="0.25">
      <c r="A52">
        <v>20</v>
      </c>
      <c r="B52">
        <v>95</v>
      </c>
      <c r="C52">
        <v>3</v>
      </c>
      <c r="D52">
        <v>0</v>
      </c>
      <c r="E52" t="e">
        <f>#REF!</f>
        <v>#REF!</v>
      </c>
      <c r="F52" t="e">
        <f>#REF!</f>
        <v>#REF!</v>
      </c>
      <c r="G52" t="e">
        <f>#REF!</f>
        <v>#REF!</v>
      </c>
      <c r="H52" t="e">
        <f>#REF!</f>
        <v>#REF!</v>
      </c>
      <c r="I52" t="e">
        <f>#REF!*#REF!</f>
        <v>#REF!</v>
      </c>
      <c r="J52" t="e">
        <f>#REF!</f>
        <v>#REF!</v>
      </c>
      <c r="K52" t="e">
        <f>#REF!</f>
        <v>#REF!</v>
      </c>
      <c r="L52" t="e">
        <f>#REF!</f>
        <v>#REF!</v>
      </c>
      <c r="M52" t="e">
        <f>ROUND(ROUND(L52*#REF!, 6)*1, 2)</f>
        <v>#REF!</v>
      </c>
      <c r="N52" t="e">
        <f>#REF!</f>
        <v>#REF!</v>
      </c>
      <c r="O52" t="e">
        <f>ROUND(ROUND(L52*#REF!, 6)*#REF!, 2)</f>
        <v>#REF!</v>
      </c>
      <c r="P52" t="e">
        <f>#REF!</f>
        <v>#REF!</v>
      </c>
      <c r="Q52" t="e">
        <f>#REF!</f>
        <v>#REF!</v>
      </c>
      <c r="R52" t="e">
        <f>ROUND(ROUND(Q52*#REF!, 6)*1, 2)</f>
        <v>#REF!</v>
      </c>
      <c r="S52" t="e">
        <f>#REF!</f>
        <v>#REF!</v>
      </c>
      <c r="T52" t="e">
        <f>ROUND(ROUND(Q52*#REF!, 6)*#REF!, 2)</f>
        <v>#REF!</v>
      </c>
      <c r="U52">
        <v>3</v>
      </c>
      <c r="Z52" t="e">
        <f>#REF!</f>
        <v>#REF!</v>
      </c>
      <c r="AA52">
        <v>219620090</v>
      </c>
      <c r="AB52">
        <v>219620090</v>
      </c>
    </row>
    <row r="53" spans="1:28" x14ac:dyDescent="0.25">
      <c r="A53">
        <v>20</v>
      </c>
      <c r="B53">
        <v>94</v>
      </c>
      <c r="C53">
        <v>3</v>
      </c>
      <c r="D53">
        <v>0</v>
      </c>
      <c r="E53" t="e">
        <f>#REF!</f>
        <v>#REF!</v>
      </c>
      <c r="F53" t="e">
        <f>#REF!</f>
        <v>#REF!</v>
      </c>
      <c r="G53" t="e">
        <f>#REF!</f>
        <v>#REF!</v>
      </c>
      <c r="H53" t="e">
        <f>#REF!</f>
        <v>#REF!</v>
      </c>
      <c r="I53" t="e">
        <f>#REF!*#REF!</f>
        <v>#REF!</v>
      </c>
      <c r="J53" t="e">
        <f>#REF!</f>
        <v>#REF!</v>
      </c>
      <c r="K53" t="e">
        <f>#REF!</f>
        <v>#REF!</v>
      </c>
      <c r="L53" t="e">
        <f>#REF!</f>
        <v>#REF!</v>
      </c>
      <c r="M53" t="e">
        <f>ROUND(ROUND(L53*#REF!, 6)*1, 2)</f>
        <v>#REF!</v>
      </c>
      <c r="N53" t="e">
        <f>#REF!</f>
        <v>#REF!</v>
      </c>
      <c r="O53" t="e">
        <f>ROUND(ROUND(L53*#REF!, 6)*#REF!, 2)</f>
        <v>#REF!</v>
      </c>
      <c r="P53" t="e">
        <f>#REF!</f>
        <v>#REF!</v>
      </c>
      <c r="Q53" t="e">
        <f>#REF!</f>
        <v>#REF!</v>
      </c>
      <c r="R53" t="e">
        <f>ROUND(ROUND(Q53*#REF!, 6)*1, 2)</f>
        <v>#REF!</v>
      </c>
      <c r="S53" t="e">
        <f>#REF!</f>
        <v>#REF!</v>
      </c>
      <c r="T53" t="e">
        <f>ROUND(ROUND(Q53*#REF!, 6)*#REF!, 2)</f>
        <v>#REF!</v>
      </c>
      <c r="U53">
        <v>3</v>
      </c>
      <c r="Z53" t="e">
        <f>#REF!</f>
        <v>#REF!</v>
      </c>
      <c r="AA53">
        <v>-1724840116</v>
      </c>
      <c r="AB53">
        <v>-691490608</v>
      </c>
    </row>
    <row r="54" spans="1:28" x14ac:dyDescent="0.25">
      <c r="A54">
        <v>20</v>
      </c>
      <c r="B54">
        <v>99</v>
      </c>
      <c r="C54">
        <v>3</v>
      </c>
      <c r="D54">
        <v>0</v>
      </c>
      <c r="E54" t="e">
        <f>#REF!</f>
        <v>#REF!</v>
      </c>
      <c r="F54" t="e">
        <f>#REF!</f>
        <v>#REF!</v>
      </c>
      <c r="G54" t="e">
        <f>#REF!</f>
        <v>#REF!</v>
      </c>
      <c r="H54" t="e">
        <f>#REF!</f>
        <v>#REF!</v>
      </c>
      <c r="I54" t="e">
        <f>#REF!*#REF!</f>
        <v>#REF!</v>
      </c>
      <c r="J54" t="e">
        <f>#REF!</f>
        <v>#REF!</v>
      </c>
      <c r="K54" t="e">
        <f>#REF!</f>
        <v>#REF!</v>
      </c>
      <c r="L54" t="e">
        <f>#REF!</f>
        <v>#REF!</v>
      </c>
      <c r="M54" t="e">
        <f>ROUND(ROUND(L54*#REF!, 6)*1, 2)</f>
        <v>#REF!</v>
      </c>
      <c r="N54" t="e">
        <f>#REF!</f>
        <v>#REF!</v>
      </c>
      <c r="O54" t="e">
        <f>ROUND(ROUND(L54*#REF!, 6)*#REF!, 2)</f>
        <v>#REF!</v>
      </c>
      <c r="P54" t="e">
        <f>#REF!</f>
        <v>#REF!</v>
      </c>
      <c r="Q54" t="e">
        <f>#REF!</f>
        <v>#REF!</v>
      </c>
      <c r="R54" t="e">
        <f>ROUND(ROUND(Q54*#REF!, 6)*1, 2)</f>
        <v>#REF!</v>
      </c>
      <c r="S54" t="e">
        <f>#REF!</f>
        <v>#REF!</v>
      </c>
      <c r="T54" t="e">
        <f>ROUND(ROUND(Q54*#REF!, 6)*#REF!, 2)</f>
        <v>#REF!</v>
      </c>
      <c r="U54">
        <v>3</v>
      </c>
      <c r="Z54" t="e">
        <f>#REF!</f>
        <v>#REF!</v>
      </c>
      <c r="AA54">
        <v>-184926609</v>
      </c>
      <c r="AB54">
        <v>-184926609</v>
      </c>
    </row>
    <row r="55" spans="1:28" x14ac:dyDescent="0.25">
      <c r="A55">
        <v>20</v>
      </c>
      <c r="B55">
        <v>98</v>
      </c>
      <c r="C55">
        <v>3</v>
      </c>
      <c r="D55">
        <v>0</v>
      </c>
      <c r="E55" t="e">
        <f>#REF!</f>
        <v>#REF!</v>
      </c>
      <c r="F55" t="e">
        <f>#REF!</f>
        <v>#REF!</v>
      </c>
      <c r="G55" t="e">
        <f>#REF!</f>
        <v>#REF!</v>
      </c>
      <c r="H55" t="e">
        <f>#REF!</f>
        <v>#REF!</v>
      </c>
      <c r="I55" t="e">
        <f>#REF!*#REF!</f>
        <v>#REF!</v>
      </c>
      <c r="J55" t="e">
        <f>#REF!</f>
        <v>#REF!</v>
      </c>
      <c r="K55" t="e">
        <f>#REF!</f>
        <v>#REF!</v>
      </c>
      <c r="L55" t="e">
        <f>#REF!</f>
        <v>#REF!</v>
      </c>
      <c r="M55" t="e">
        <f>ROUND(ROUND(L55*#REF!, 6)*1, 2)</f>
        <v>#REF!</v>
      </c>
      <c r="N55" t="e">
        <f>#REF!</f>
        <v>#REF!</v>
      </c>
      <c r="O55" t="e">
        <f>ROUND(ROUND(L55*#REF!, 6)*#REF!, 2)</f>
        <v>#REF!</v>
      </c>
      <c r="P55" t="e">
        <f>#REF!</f>
        <v>#REF!</v>
      </c>
      <c r="Q55" t="e">
        <f>#REF!</f>
        <v>#REF!</v>
      </c>
      <c r="R55" t="e">
        <f>ROUND(ROUND(Q55*#REF!, 6)*1, 2)</f>
        <v>#REF!</v>
      </c>
      <c r="S55" t="e">
        <f>#REF!</f>
        <v>#REF!</v>
      </c>
      <c r="T55" t="e">
        <f>ROUND(ROUND(Q55*#REF!, 6)*#REF!, 2)</f>
        <v>#REF!</v>
      </c>
      <c r="U55">
        <v>3</v>
      </c>
      <c r="Z55" t="e">
        <f>#REF!</f>
        <v>#REF!</v>
      </c>
      <c r="AA55">
        <v>-161127859</v>
      </c>
      <c r="AB55">
        <v>-161127859</v>
      </c>
    </row>
    <row r="56" spans="1:28" x14ac:dyDescent="0.25">
      <c r="A56">
        <v>20</v>
      </c>
      <c r="B56">
        <v>110</v>
      </c>
      <c r="C56">
        <v>3</v>
      </c>
      <c r="D56">
        <v>0</v>
      </c>
      <c r="E56" t="e">
        <f>#REF!</f>
        <v>#REF!</v>
      </c>
      <c r="F56" t="e">
        <f>#REF!</f>
        <v>#REF!</v>
      </c>
      <c r="G56" t="e">
        <f>#REF!</f>
        <v>#REF!</v>
      </c>
      <c r="H56" t="e">
        <f>#REF!</f>
        <v>#REF!</v>
      </c>
      <c r="I56" t="e">
        <f>#REF!*#REF!</f>
        <v>#REF!</v>
      </c>
      <c r="J56" t="e">
        <f>#REF!</f>
        <v>#REF!</v>
      </c>
      <c r="K56" t="e">
        <f>#REF!</f>
        <v>#REF!</v>
      </c>
      <c r="L56" t="e">
        <f>#REF!</f>
        <v>#REF!</v>
      </c>
      <c r="M56" t="e">
        <f>ROUND(ROUND(L56*#REF!, 6)*1, 2)</f>
        <v>#REF!</v>
      </c>
      <c r="N56" t="e">
        <f>#REF!</f>
        <v>#REF!</v>
      </c>
      <c r="O56" t="e">
        <f>ROUND(ROUND(L56*#REF!, 6)*#REF!, 2)</f>
        <v>#REF!</v>
      </c>
      <c r="P56" t="e">
        <f>#REF!</f>
        <v>#REF!</v>
      </c>
      <c r="Q56" t="e">
        <f>#REF!</f>
        <v>#REF!</v>
      </c>
      <c r="R56" t="e">
        <f>ROUND(ROUND(Q56*#REF!, 6)*1, 2)</f>
        <v>#REF!</v>
      </c>
      <c r="S56" t="e">
        <f>#REF!</f>
        <v>#REF!</v>
      </c>
      <c r="T56" t="e">
        <f>ROUND(ROUND(Q56*#REF!, 6)*#REF!, 2)</f>
        <v>#REF!</v>
      </c>
      <c r="U56">
        <v>3</v>
      </c>
      <c r="Z56" t="e">
        <f>#REF!</f>
        <v>#REF!</v>
      </c>
      <c r="AA56">
        <v>881484891</v>
      </c>
      <c r="AB56">
        <v>881484891</v>
      </c>
    </row>
    <row r="57" spans="1:28" x14ac:dyDescent="0.25">
      <c r="A57">
        <v>20</v>
      </c>
      <c r="B57">
        <v>109</v>
      </c>
      <c r="C57">
        <v>3</v>
      </c>
      <c r="D57">
        <v>0</v>
      </c>
      <c r="E57" t="e">
        <f>#REF!</f>
        <v>#REF!</v>
      </c>
      <c r="F57" t="e">
        <f>#REF!</f>
        <v>#REF!</v>
      </c>
      <c r="G57" t="e">
        <f>#REF!</f>
        <v>#REF!</v>
      </c>
      <c r="H57" t="e">
        <f>#REF!</f>
        <v>#REF!</v>
      </c>
      <c r="I57" t="e">
        <f>#REF!*#REF!</f>
        <v>#REF!</v>
      </c>
      <c r="J57" t="e">
        <f>#REF!</f>
        <v>#REF!</v>
      </c>
      <c r="K57" t="e">
        <f>#REF!</f>
        <v>#REF!</v>
      </c>
      <c r="L57" t="e">
        <f>#REF!</f>
        <v>#REF!</v>
      </c>
      <c r="M57" t="e">
        <f>ROUND(ROUND(L57*#REF!, 6)*1, 2)</f>
        <v>#REF!</v>
      </c>
      <c r="N57" t="e">
        <f>#REF!</f>
        <v>#REF!</v>
      </c>
      <c r="O57" t="e">
        <f>ROUND(ROUND(L57*#REF!, 6)*#REF!, 2)</f>
        <v>#REF!</v>
      </c>
      <c r="P57" t="e">
        <f>#REF!</f>
        <v>#REF!</v>
      </c>
      <c r="Q57" t="e">
        <f>#REF!</f>
        <v>#REF!</v>
      </c>
      <c r="R57" t="e">
        <f>ROUND(ROUND(Q57*#REF!, 6)*1, 2)</f>
        <v>#REF!</v>
      </c>
      <c r="S57" t="e">
        <f>#REF!</f>
        <v>#REF!</v>
      </c>
      <c r="T57" t="e">
        <f>ROUND(ROUND(Q57*#REF!, 6)*#REF!, 2)</f>
        <v>#REF!</v>
      </c>
      <c r="U57">
        <v>3</v>
      </c>
      <c r="Z57" t="e">
        <f>#REF!</f>
        <v>#REF!</v>
      </c>
      <c r="AA57">
        <v>-1356294715</v>
      </c>
      <c r="AB57">
        <v>-1356294715</v>
      </c>
    </row>
    <row r="58" spans="1:28" x14ac:dyDescent="0.25">
      <c r="A58">
        <v>20</v>
      </c>
      <c r="B58">
        <v>108</v>
      </c>
      <c r="C58">
        <v>3</v>
      </c>
      <c r="D58">
        <v>0</v>
      </c>
      <c r="E58" t="e">
        <f>#REF!</f>
        <v>#REF!</v>
      </c>
      <c r="F58" t="e">
        <f>#REF!</f>
        <v>#REF!</v>
      </c>
      <c r="G58" t="e">
        <f>#REF!</f>
        <v>#REF!</v>
      </c>
      <c r="H58" t="e">
        <f>#REF!</f>
        <v>#REF!</v>
      </c>
      <c r="I58" t="e">
        <f>#REF!*#REF!</f>
        <v>#REF!</v>
      </c>
      <c r="J58" t="e">
        <f>#REF!</f>
        <v>#REF!</v>
      </c>
      <c r="K58" t="e">
        <f>#REF!</f>
        <v>#REF!</v>
      </c>
      <c r="L58" t="e">
        <f>#REF!</f>
        <v>#REF!</v>
      </c>
      <c r="M58" t="e">
        <f>ROUND(ROUND(L58*#REF!, 6)*1, 2)</f>
        <v>#REF!</v>
      </c>
      <c r="N58" t="e">
        <f>#REF!</f>
        <v>#REF!</v>
      </c>
      <c r="O58" t="e">
        <f>ROUND(ROUND(L58*#REF!, 6)*#REF!, 2)</f>
        <v>#REF!</v>
      </c>
      <c r="P58" t="e">
        <f>#REF!</f>
        <v>#REF!</v>
      </c>
      <c r="Q58" t="e">
        <f>#REF!</f>
        <v>#REF!</v>
      </c>
      <c r="R58" t="e">
        <f>ROUND(ROUND(Q58*#REF!, 6)*1, 2)</f>
        <v>#REF!</v>
      </c>
      <c r="S58" t="e">
        <f>#REF!</f>
        <v>#REF!</v>
      </c>
      <c r="T58" t="e">
        <f>ROUND(ROUND(Q58*#REF!, 6)*#REF!, 2)</f>
        <v>#REF!</v>
      </c>
      <c r="U58">
        <v>3</v>
      </c>
      <c r="Z58" t="e">
        <f>#REF!</f>
        <v>#REF!</v>
      </c>
      <c r="AA58">
        <v>821945716</v>
      </c>
      <c r="AB58">
        <v>821945716</v>
      </c>
    </row>
    <row r="59" spans="1:28" x14ac:dyDescent="0.25">
      <c r="A59">
        <v>20</v>
      </c>
      <c r="B59">
        <v>107</v>
      </c>
      <c r="C59">
        <v>3</v>
      </c>
      <c r="D59">
        <v>0</v>
      </c>
      <c r="E59" t="e">
        <f>#REF!</f>
        <v>#REF!</v>
      </c>
      <c r="F59" t="e">
        <f>#REF!</f>
        <v>#REF!</v>
      </c>
      <c r="G59" t="e">
        <f>#REF!</f>
        <v>#REF!</v>
      </c>
      <c r="H59" t="e">
        <f>#REF!</f>
        <v>#REF!</v>
      </c>
      <c r="I59" t="e">
        <f>#REF!*#REF!</f>
        <v>#REF!</v>
      </c>
      <c r="J59" t="e">
        <f>#REF!</f>
        <v>#REF!</v>
      </c>
      <c r="K59" t="e">
        <f>#REF!</f>
        <v>#REF!</v>
      </c>
      <c r="L59" t="e">
        <f>#REF!</f>
        <v>#REF!</v>
      </c>
      <c r="M59" t="e">
        <f>ROUND(ROUND(L59*#REF!, 6)*1, 2)</f>
        <v>#REF!</v>
      </c>
      <c r="N59" t="e">
        <f>#REF!</f>
        <v>#REF!</v>
      </c>
      <c r="O59" t="e">
        <f>ROUND(ROUND(L59*#REF!, 6)*#REF!, 2)</f>
        <v>#REF!</v>
      </c>
      <c r="P59" t="e">
        <f>#REF!</f>
        <v>#REF!</v>
      </c>
      <c r="Q59" t="e">
        <f>#REF!</f>
        <v>#REF!</v>
      </c>
      <c r="R59" t="e">
        <f>ROUND(ROUND(Q59*#REF!, 6)*1, 2)</f>
        <v>#REF!</v>
      </c>
      <c r="S59" t="e">
        <f>#REF!</f>
        <v>#REF!</v>
      </c>
      <c r="T59" t="e">
        <f>ROUND(ROUND(Q59*#REF!, 6)*#REF!, 2)</f>
        <v>#REF!</v>
      </c>
      <c r="U59">
        <v>3</v>
      </c>
      <c r="Z59" t="e">
        <f>#REF!</f>
        <v>#REF!</v>
      </c>
      <c r="AA59">
        <v>510775287</v>
      </c>
      <c r="AB59">
        <v>510775287</v>
      </c>
    </row>
    <row r="60" spans="1:28" x14ac:dyDescent="0.25">
      <c r="A60">
        <v>20</v>
      </c>
      <c r="B60">
        <v>106</v>
      </c>
      <c r="C60">
        <v>3</v>
      </c>
      <c r="D60">
        <v>0</v>
      </c>
      <c r="E60" t="e">
        <f>#REF!</f>
        <v>#REF!</v>
      </c>
      <c r="F60" t="e">
        <f>#REF!</f>
        <v>#REF!</v>
      </c>
      <c r="G60" t="e">
        <f>#REF!</f>
        <v>#REF!</v>
      </c>
      <c r="H60" t="e">
        <f>#REF!</f>
        <v>#REF!</v>
      </c>
      <c r="I60" t="e">
        <f>#REF!*#REF!</f>
        <v>#REF!</v>
      </c>
      <c r="J60" t="e">
        <f>#REF!</f>
        <v>#REF!</v>
      </c>
      <c r="K60" t="e">
        <f>#REF!</f>
        <v>#REF!</v>
      </c>
      <c r="L60" t="e">
        <f>#REF!</f>
        <v>#REF!</v>
      </c>
      <c r="M60" t="e">
        <f>ROUND(ROUND(L60*#REF!, 6)*1, 2)</f>
        <v>#REF!</v>
      </c>
      <c r="N60" t="e">
        <f>#REF!</f>
        <v>#REF!</v>
      </c>
      <c r="O60" t="e">
        <f>ROUND(ROUND(L60*#REF!, 6)*#REF!, 2)</f>
        <v>#REF!</v>
      </c>
      <c r="P60" t="e">
        <f>#REF!</f>
        <v>#REF!</v>
      </c>
      <c r="Q60" t="e">
        <f>#REF!</f>
        <v>#REF!</v>
      </c>
      <c r="R60" t="e">
        <f>ROUND(ROUND(Q60*#REF!, 6)*1, 2)</f>
        <v>#REF!</v>
      </c>
      <c r="S60" t="e">
        <f>#REF!</f>
        <v>#REF!</v>
      </c>
      <c r="T60" t="e">
        <f>ROUND(ROUND(Q60*#REF!, 6)*#REF!, 2)</f>
        <v>#REF!</v>
      </c>
      <c r="U60">
        <v>3</v>
      </c>
      <c r="Z60" t="e">
        <f>#REF!</f>
        <v>#REF!</v>
      </c>
      <c r="AA60">
        <v>-679251165</v>
      </c>
      <c r="AB60">
        <v>-679251165</v>
      </c>
    </row>
    <row r="61" spans="1:28" x14ac:dyDescent="0.25">
      <c r="A61">
        <v>20</v>
      </c>
      <c r="B61">
        <v>105</v>
      </c>
      <c r="C61">
        <v>3</v>
      </c>
      <c r="D61">
        <v>0</v>
      </c>
      <c r="E61" t="e">
        <f>#REF!</f>
        <v>#REF!</v>
      </c>
      <c r="F61" t="e">
        <f>#REF!</f>
        <v>#REF!</v>
      </c>
      <c r="G61" t="e">
        <f>#REF!</f>
        <v>#REF!</v>
      </c>
      <c r="H61" t="e">
        <f>#REF!</f>
        <v>#REF!</v>
      </c>
      <c r="I61" t="e">
        <f>#REF!*#REF!</f>
        <v>#REF!</v>
      </c>
      <c r="J61" t="e">
        <f>#REF!</f>
        <v>#REF!</v>
      </c>
      <c r="K61" t="e">
        <f>#REF!</f>
        <v>#REF!</v>
      </c>
      <c r="L61" t="e">
        <f>#REF!</f>
        <v>#REF!</v>
      </c>
      <c r="M61" t="e">
        <f>ROUND(ROUND(L61*#REF!, 6)*1, 2)</f>
        <v>#REF!</v>
      </c>
      <c r="N61" t="e">
        <f>#REF!</f>
        <v>#REF!</v>
      </c>
      <c r="O61" t="e">
        <f>ROUND(ROUND(L61*#REF!, 6)*#REF!, 2)</f>
        <v>#REF!</v>
      </c>
      <c r="P61" t="e">
        <f>#REF!</f>
        <v>#REF!</v>
      </c>
      <c r="Q61" t="e">
        <f>#REF!</f>
        <v>#REF!</v>
      </c>
      <c r="R61" t="e">
        <f>ROUND(ROUND(Q61*#REF!, 6)*1, 2)</f>
        <v>#REF!</v>
      </c>
      <c r="S61" t="e">
        <f>#REF!</f>
        <v>#REF!</v>
      </c>
      <c r="T61" t="e">
        <f>ROUND(ROUND(Q61*#REF!, 6)*#REF!, 2)</f>
        <v>#REF!</v>
      </c>
      <c r="U61">
        <v>3</v>
      </c>
      <c r="Z61" t="e">
        <f>#REF!</f>
        <v>#REF!</v>
      </c>
      <c r="AA61">
        <v>469597481</v>
      </c>
      <c r="AB61">
        <v>469597481</v>
      </c>
    </row>
    <row r="62" spans="1:28" x14ac:dyDescent="0.25">
      <c r="A62">
        <v>20</v>
      </c>
      <c r="B62">
        <v>104</v>
      </c>
      <c r="C62">
        <v>3</v>
      </c>
      <c r="D62">
        <v>0</v>
      </c>
      <c r="E62" t="e">
        <f>#REF!</f>
        <v>#REF!</v>
      </c>
      <c r="F62" t="e">
        <f>#REF!</f>
        <v>#REF!</v>
      </c>
      <c r="G62" t="e">
        <f>#REF!</f>
        <v>#REF!</v>
      </c>
      <c r="H62" t="e">
        <f>#REF!</f>
        <v>#REF!</v>
      </c>
      <c r="I62" t="e">
        <f>#REF!*#REF!</f>
        <v>#REF!</v>
      </c>
      <c r="J62" t="e">
        <f>#REF!</f>
        <v>#REF!</v>
      </c>
      <c r="K62" t="e">
        <f>#REF!</f>
        <v>#REF!</v>
      </c>
      <c r="L62" t="e">
        <f>#REF!</f>
        <v>#REF!</v>
      </c>
      <c r="M62" t="e">
        <f>ROUND(ROUND(L62*#REF!, 6)*1, 2)</f>
        <v>#REF!</v>
      </c>
      <c r="N62" t="e">
        <f>#REF!</f>
        <v>#REF!</v>
      </c>
      <c r="O62" t="e">
        <f>ROUND(ROUND(L62*#REF!, 6)*#REF!, 2)</f>
        <v>#REF!</v>
      </c>
      <c r="P62" t="e">
        <f>#REF!</f>
        <v>#REF!</v>
      </c>
      <c r="Q62" t="e">
        <f>#REF!</f>
        <v>#REF!</v>
      </c>
      <c r="R62" t="e">
        <f>ROUND(ROUND(Q62*#REF!, 6)*1, 2)</f>
        <v>#REF!</v>
      </c>
      <c r="S62" t="e">
        <f>#REF!</f>
        <v>#REF!</v>
      </c>
      <c r="T62" t="e">
        <f>ROUND(ROUND(Q62*#REF!, 6)*#REF!, 2)</f>
        <v>#REF!</v>
      </c>
      <c r="U62">
        <v>3</v>
      </c>
      <c r="Z62" t="e">
        <f>#REF!</f>
        <v>#REF!</v>
      </c>
      <c r="AA62">
        <v>1976285949</v>
      </c>
      <c r="AB62">
        <v>1976285949</v>
      </c>
    </row>
    <row r="63" spans="1:28" x14ac:dyDescent="0.25">
      <c r="A63" t="e">
        <f>#REF!</f>
        <v>#REF!</v>
      </c>
      <c r="B63">
        <v>127</v>
      </c>
      <c r="G63" t="e">
        <f>#REF!</f>
        <v>#REF!</v>
      </c>
    </row>
    <row r="64" spans="1:28" x14ac:dyDescent="0.25">
      <c r="A64">
        <v>20</v>
      </c>
      <c r="B64">
        <v>138</v>
      </c>
      <c r="C64">
        <v>3</v>
      </c>
      <c r="D64">
        <v>0</v>
      </c>
      <c r="E64" t="e">
        <f>#REF!</f>
        <v>#REF!</v>
      </c>
      <c r="F64" t="e">
        <f>#REF!</f>
        <v>#REF!</v>
      </c>
      <c r="G64" t="e">
        <f>#REF!</f>
        <v>#REF!</v>
      </c>
      <c r="H64" t="e">
        <f>#REF!</f>
        <v>#REF!</v>
      </c>
      <c r="I64" t="e">
        <f>#REF!*#REF!</f>
        <v>#REF!</v>
      </c>
      <c r="J64" t="e">
        <f>#REF!</f>
        <v>#REF!</v>
      </c>
      <c r="K64" t="e">
        <f>#REF!</f>
        <v>#REF!</v>
      </c>
      <c r="L64" t="e">
        <f>#REF!</f>
        <v>#REF!</v>
      </c>
      <c r="M64" t="e">
        <f>ROUND(ROUND(L64*#REF!, 6)*1, 2)</f>
        <v>#REF!</v>
      </c>
      <c r="N64" t="e">
        <f>#REF!</f>
        <v>#REF!</v>
      </c>
      <c r="O64" t="e">
        <f>ROUND(ROUND(L64*#REF!, 6)*#REF!, 2)</f>
        <v>#REF!</v>
      </c>
      <c r="P64" t="e">
        <f>#REF!</f>
        <v>#REF!</v>
      </c>
      <c r="Q64" t="e">
        <f>#REF!</f>
        <v>#REF!</v>
      </c>
      <c r="R64" t="e">
        <f>ROUND(ROUND(Q64*#REF!, 6)*1, 2)</f>
        <v>#REF!</v>
      </c>
      <c r="S64" t="e">
        <f>#REF!</f>
        <v>#REF!</v>
      </c>
      <c r="T64" t="e">
        <f>ROUND(ROUND(Q64*#REF!, 6)*#REF!, 2)</f>
        <v>#REF!</v>
      </c>
      <c r="U64">
        <v>3</v>
      </c>
      <c r="Z64" t="e">
        <f>#REF!</f>
        <v>#REF!</v>
      </c>
      <c r="AA64">
        <v>-1219011253</v>
      </c>
      <c r="AB64">
        <v>-1219011253</v>
      </c>
    </row>
    <row r="65" spans="1:28" x14ac:dyDescent="0.25">
      <c r="A65">
        <v>20</v>
      </c>
      <c r="B65">
        <v>137</v>
      </c>
      <c r="C65">
        <v>3</v>
      </c>
      <c r="D65">
        <v>0</v>
      </c>
      <c r="E65" t="e">
        <f>#REF!</f>
        <v>#REF!</v>
      </c>
      <c r="F65" t="e">
        <f>#REF!</f>
        <v>#REF!</v>
      </c>
      <c r="G65" t="e">
        <f>#REF!</f>
        <v>#REF!</v>
      </c>
      <c r="H65" t="e">
        <f>#REF!</f>
        <v>#REF!</v>
      </c>
      <c r="I65" t="e">
        <f>#REF!*#REF!</f>
        <v>#REF!</v>
      </c>
      <c r="J65" t="e">
        <f>#REF!</f>
        <v>#REF!</v>
      </c>
      <c r="K65" t="e">
        <f>#REF!</f>
        <v>#REF!</v>
      </c>
      <c r="L65" t="e">
        <f>#REF!</f>
        <v>#REF!</v>
      </c>
      <c r="M65" t="e">
        <f>ROUND(ROUND(L65*#REF!, 6)*1, 2)</f>
        <v>#REF!</v>
      </c>
      <c r="N65" t="e">
        <f>#REF!</f>
        <v>#REF!</v>
      </c>
      <c r="O65" t="e">
        <f>ROUND(ROUND(L65*#REF!, 6)*#REF!, 2)</f>
        <v>#REF!</v>
      </c>
      <c r="P65" t="e">
        <f>#REF!</f>
        <v>#REF!</v>
      </c>
      <c r="Q65" t="e">
        <f>#REF!</f>
        <v>#REF!</v>
      </c>
      <c r="R65" t="e">
        <f>ROUND(ROUND(Q65*#REF!, 6)*1, 2)</f>
        <v>#REF!</v>
      </c>
      <c r="S65" t="e">
        <f>#REF!</f>
        <v>#REF!</v>
      </c>
      <c r="T65" t="e">
        <f>ROUND(ROUND(Q65*#REF!, 6)*#REF!, 2)</f>
        <v>#REF!</v>
      </c>
      <c r="U65">
        <v>3</v>
      </c>
      <c r="Z65" t="e">
        <f>#REF!</f>
        <v>#REF!</v>
      </c>
      <c r="AA65">
        <v>1203958368</v>
      </c>
      <c r="AB65">
        <v>1203958368</v>
      </c>
    </row>
    <row r="66" spans="1:28" x14ac:dyDescent="0.25">
      <c r="A66">
        <v>20</v>
      </c>
      <c r="B66">
        <v>141</v>
      </c>
      <c r="C66">
        <v>3</v>
      </c>
      <c r="D66">
        <v>0</v>
      </c>
      <c r="E66" t="e">
        <f>#REF!</f>
        <v>#REF!</v>
      </c>
      <c r="F66" t="e">
        <f>#REF!</f>
        <v>#REF!</v>
      </c>
      <c r="G66" t="e">
        <f>#REF!</f>
        <v>#REF!</v>
      </c>
      <c r="H66" t="e">
        <f>#REF!</f>
        <v>#REF!</v>
      </c>
      <c r="I66" t="e">
        <f>#REF!*#REF!</f>
        <v>#REF!</v>
      </c>
      <c r="J66" t="e">
        <f>#REF!</f>
        <v>#REF!</v>
      </c>
      <c r="K66" t="e">
        <f>#REF!</f>
        <v>#REF!</v>
      </c>
      <c r="L66" t="e">
        <f>#REF!</f>
        <v>#REF!</v>
      </c>
      <c r="M66" t="e">
        <f>ROUND(ROUND(L66*#REF!, 6)*1, 2)</f>
        <v>#REF!</v>
      </c>
      <c r="N66" t="e">
        <f>#REF!</f>
        <v>#REF!</v>
      </c>
      <c r="O66" t="e">
        <f>ROUND(ROUND(L66*#REF!, 6)*#REF!, 2)</f>
        <v>#REF!</v>
      </c>
      <c r="P66" t="e">
        <f>#REF!</f>
        <v>#REF!</v>
      </c>
      <c r="Q66" t="e">
        <f>#REF!</f>
        <v>#REF!</v>
      </c>
      <c r="R66" t="e">
        <f>ROUND(ROUND(Q66*#REF!, 6)*1, 2)</f>
        <v>#REF!</v>
      </c>
      <c r="S66" t="e">
        <f>#REF!</f>
        <v>#REF!</v>
      </c>
      <c r="T66" t="e">
        <f>ROUND(ROUND(Q66*#REF!, 6)*#REF!, 2)</f>
        <v>#REF!</v>
      </c>
      <c r="U66">
        <v>3</v>
      </c>
      <c r="Z66" t="e">
        <f>#REF!</f>
        <v>#REF!</v>
      </c>
      <c r="AA66">
        <v>-1219011253</v>
      </c>
      <c r="AB66">
        <v>-1219011253</v>
      </c>
    </row>
    <row r="67" spans="1:28" x14ac:dyDescent="0.25">
      <c r="A67">
        <v>20</v>
      </c>
      <c r="B67">
        <v>145</v>
      </c>
      <c r="C67">
        <v>3</v>
      </c>
      <c r="D67">
        <v>0</v>
      </c>
      <c r="E67" t="e">
        <f>#REF!</f>
        <v>#REF!</v>
      </c>
      <c r="F67" t="e">
        <f>#REF!</f>
        <v>#REF!</v>
      </c>
      <c r="G67" t="e">
        <f>#REF!</f>
        <v>#REF!</v>
      </c>
      <c r="H67" t="e">
        <f>#REF!</f>
        <v>#REF!</v>
      </c>
      <c r="I67" t="e">
        <f>#REF!*#REF!</f>
        <v>#REF!</v>
      </c>
      <c r="J67" t="e">
        <f>#REF!</f>
        <v>#REF!</v>
      </c>
      <c r="K67" t="e">
        <f>#REF!</f>
        <v>#REF!</v>
      </c>
      <c r="L67" t="e">
        <f>#REF!</f>
        <v>#REF!</v>
      </c>
      <c r="M67" t="e">
        <f>ROUND(ROUND(L67*#REF!, 6)*1, 2)</f>
        <v>#REF!</v>
      </c>
      <c r="N67" t="e">
        <f>#REF!</f>
        <v>#REF!</v>
      </c>
      <c r="O67" t="e">
        <f>ROUND(ROUND(L67*#REF!, 6)*#REF!, 2)</f>
        <v>#REF!</v>
      </c>
      <c r="P67" t="e">
        <f>#REF!</f>
        <v>#REF!</v>
      </c>
      <c r="Q67" t="e">
        <f>#REF!</f>
        <v>#REF!</v>
      </c>
      <c r="R67" t="e">
        <f>ROUND(ROUND(Q67*#REF!, 6)*1, 2)</f>
        <v>#REF!</v>
      </c>
      <c r="S67" t="e">
        <f>#REF!</f>
        <v>#REF!</v>
      </c>
      <c r="T67" t="e">
        <f>ROUND(ROUND(Q67*#REF!, 6)*#REF!, 2)</f>
        <v>#REF!</v>
      </c>
      <c r="U67">
        <v>3</v>
      </c>
      <c r="Z67" t="e">
        <f>#REF!</f>
        <v>#REF!</v>
      </c>
      <c r="AA67">
        <v>393542467</v>
      </c>
      <c r="AB67">
        <v>393542467</v>
      </c>
    </row>
    <row r="68" spans="1:28" x14ac:dyDescent="0.25">
      <c r="A68">
        <v>20</v>
      </c>
      <c r="B68">
        <v>144</v>
      </c>
      <c r="C68">
        <v>3</v>
      </c>
      <c r="D68">
        <v>0</v>
      </c>
      <c r="E68" t="e">
        <f>#REF!</f>
        <v>#REF!</v>
      </c>
      <c r="F68" t="e">
        <f>#REF!</f>
        <v>#REF!</v>
      </c>
      <c r="G68" t="e">
        <f>#REF!</f>
        <v>#REF!</v>
      </c>
      <c r="H68" t="e">
        <f>#REF!</f>
        <v>#REF!</v>
      </c>
      <c r="I68" t="e">
        <f>#REF!*#REF!</f>
        <v>#REF!</v>
      </c>
      <c r="J68" t="e">
        <f>#REF!</f>
        <v>#REF!</v>
      </c>
      <c r="K68" t="e">
        <f>#REF!</f>
        <v>#REF!</v>
      </c>
      <c r="L68" t="e">
        <f>#REF!</f>
        <v>#REF!</v>
      </c>
      <c r="M68" t="e">
        <f>ROUND(ROUND(L68*#REF!, 6)*1, 2)</f>
        <v>#REF!</v>
      </c>
      <c r="N68" t="e">
        <f>#REF!</f>
        <v>#REF!</v>
      </c>
      <c r="O68" t="e">
        <f>ROUND(ROUND(L68*#REF!, 6)*#REF!, 2)</f>
        <v>#REF!</v>
      </c>
      <c r="P68" t="e">
        <f>#REF!</f>
        <v>#REF!</v>
      </c>
      <c r="Q68" t="e">
        <f>#REF!</f>
        <v>#REF!</v>
      </c>
      <c r="R68" t="e">
        <f>ROUND(ROUND(Q68*#REF!, 6)*1, 2)</f>
        <v>#REF!</v>
      </c>
      <c r="S68" t="e">
        <f>#REF!</f>
        <v>#REF!</v>
      </c>
      <c r="T68" t="e">
        <f>ROUND(ROUND(Q68*#REF!, 6)*#REF!, 2)</f>
        <v>#REF!</v>
      </c>
      <c r="U68">
        <v>3</v>
      </c>
      <c r="Z68" t="e">
        <f>#REF!</f>
        <v>#REF!</v>
      </c>
      <c r="AA68">
        <v>1046838046</v>
      </c>
      <c r="AB68">
        <v>1046838046</v>
      </c>
    </row>
    <row r="69" spans="1:28" x14ac:dyDescent="0.25">
      <c r="A69">
        <v>20</v>
      </c>
      <c r="B69">
        <v>153</v>
      </c>
      <c r="C69">
        <v>3</v>
      </c>
      <c r="D69">
        <v>0</v>
      </c>
      <c r="E69" t="e">
        <f>#REF!</f>
        <v>#REF!</v>
      </c>
      <c r="F69" t="e">
        <f>#REF!</f>
        <v>#REF!</v>
      </c>
      <c r="G69" t="e">
        <f>#REF!</f>
        <v>#REF!</v>
      </c>
      <c r="H69" t="e">
        <f>#REF!</f>
        <v>#REF!</v>
      </c>
      <c r="I69" t="e">
        <f>#REF!*#REF!</f>
        <v>#REF!</v>
      </c>
      <c r="J69" t="e">
        <f>#REF!</f>
        <v>#REF!</v>
      </c>
      <c r="K69" t="e">
        <f>#REF!</f>
        <v>#REF!</v>
      </c>
      <c r="L69" t="e">
        <f>#REF!</f>
        <v>#REF!</v>
      </c>
      <c r="M69" t="e">
        <f>ROUND(ROUND(L69*#REF!, 6)*1, 2)</f>
        <v>#REF!</v>
      </c>
      <c r="N69" t="e">
        <f>#REF!</f>
        <v>#REF!</v>
      </c>
      <c r="O69" t="e">
        <f>ROUND(ROUND(L69*#REF!, 6)*#REF!, 2)</f>
        <v>#REF!</v>
      </c>
      <c r="P69" t="e">
        <f>#REF!</f>
        <v>#REF!</v>
      </c>
      <c r="Q69" t="e">
        <f>#REF!</f>
        <v>#REF!</v>
      </c>
      <c r="R69" t="e">
        <f>ROUND(ROUND(Q69*#REF!, 6)*1, 2)</f>
        <v>#REF!</v>
      </c>
      <c r="S69" t="e">
        <f>#REF!</f>
        <v>#REF!</v>
      </c>
      <c r="T69" t="e">
        <f>ROUND(ROUND(Q69*#REF!, 6)*#REF!, 2)</f>
        <v>#REF!</v>
      </c>
      <c r="U69">
        <v>3</v>
      </c>
      <c r="Z69" t="e">
        <f>#REF!</f>
        <v>#REF!</v>
      </c>
      <c r="AA69">
        <v>950560747</v>
      </c>
      <c r="AB69">
        <v>950560747</v>
      </c>
    </row>
    <row r="70" spans="1:28" x14ac:dyDescent="0.25">
      <c r="A70">
        <v>20</v>
      </c>
      <c r="B70">
        <v>152</v>
      </c>
      <c r="C70">
        <v>3</v>
      </c>
      <c r="D70">
        <v>0</v>
      </c>
      <c r="E70" t="e">
        <f>#REF!</f>
        <v>#REF!</v>
      </c>
      <c r="F70" t="e">
        <f>#REF!</f>
        <v>#REF!</v>
      </c>
      <c r="G70" t="e">
        <f>#REF!</f>
        <v>#REF!</v>
      </c>
      <c r="H70" t="e">
        <f>#REF!</f>
        <v>#REF!</v>
      </c>
      <c r="I70" t="e">
        <f>#REF!*#REF!</f>
        <v>#REF!</v>
      </c>
      <c r="J70" t="e">
        <f>#REF!</f>
        <v>#REF!</v>
      </c>
      <c r="K70" t="e">
        <f>#REF!</f>
        <v>#REF!</v>
      </c>
      <c r="L70" t="e">
        <f>#REF!</f>
        <v>#REF!</v>
      </c>
      <c r="M70" t="e">
        <f>ROUND(ROUND(L70*#REF!, 6)*1, 2)</f>
        <v>#REF!</v>
      </c>
      <c r="N70" t="e">
        <f>#REF!</f>
        <v>#REF!</v>
      </c>
      <c r="O70" t="e">
        <f>ROUND(ROUND(L70*#REF!, 6)*#REF!, 2)</f>
        <v>#REF!</v>
      </c>
      <c r="P70" t="e">
        <f>#REF!</f>
        <v>#REF!</v>
      </c>
      <c r="Q70" t="e">
        <f>#REF!</f>
        <v>#REF!</v>
      </c>
      <c r="R70" t="e">
        <f>ROUND(ROUND(Q70*#REF!, 6)*1, 2)</f>
        <v>#REF!</v>
      </c>
      <c r="S70" t="e">
        <f>#REF!</f>
        <v>#REF!</v>
      </c>
      <c r="T70" t="e">
        <f>ROUND(ROUND(Q70*#REF!, 6)*#REF!, 2)</f>
        <v>#REF!</v>
      </c>
      <c r="U70">
        <v>3</v>
      </c>
      <c r="Z70" t="e">
        <f>#REF!</f>
        <v>#REF!</v>
      </c>
      <c r="AA70">
        <v>-1219011253</v>
      </c>
      <c r="AB70">
        <v>-1219011253</v>
      </c>
    </row>
    <row r="71" spans="1:28" x14ac:dyDescent="0.25">
      <c r="A71">
        <v>20</v>
      </c>
      <c r="B71">
        <v>151</v>
      </c>
      <c r="C71">
        <v>3</v>
      </c>
      <c r="D71">
        <v>0</v>
      </c>
      <c r="E71" t="e">
        <f>#REF!</f>
        <v>#REF!</v>
      </c>
      <c r="F71" t="e">
        <f>#REF!</f>
        <v>#REF!</v>
      </c>
      <c r="G71" t="e">
        <f>#REF!</f>
        <v>#REF!</v>
      </c>
      <c r="H71" t="e">
        <f>#REF!</f>
        <v>#REF!</v>
      </c>
      <c r="I71" t="e">
        <f>#REF!*#REF!</f>
        <v>#REF!</v>
      </c>
      <c r="J71" t="e">
        <f>#REF!</f>
        <v>#REF!</v>
      </c>
      <c r="K71" t="e">
        <f>#REF!</f>
        <v>#REF!</v>
      </c>
      <c r="L71" t="e">
        <f>#REF!</f>
        <v>#REF!</v>
      </c>
      <c r="M71" t="e">
        <f>ROUND(ROUND(L71*#REF!, 6)*1, 2)</f>
        <v>#REF!</v>
      </c>
      <c r="N71" t="e">
        <f>#REF!</f>
        <v>#REF!</v>
      </c>
      <c r="O71" t="e">
        <f>ROUND(ROUND(L71*#REF!, 6)*#REF!, 2)</f>
        <v>#REF!</v>
      </c>
      <c r="P71" t="e">
        <f>#REF!</f>
        <v>#REF!</v>
      </c>
      <c r="Q71" t="e">
        <f>#REF!</f>
        <v>#REF!</v>
      </c>
      <c r="R71" t="e">
        <f>ROUND(ROUND(Q71*#REF!, 6)*1, 2)</f>
        <v>#REF!</v>
      </c>
      <c r="S71" t="e">
        <f>#REF!</f>
        <v>#REF!</v>
      </c>
      <c r="T71" t="e">
        <f>ROUND(ROUND(Q71*#REF!, 6)*#REF!, 2)</f>
        <v>#REF!</v>
      </c>
      <c r="U71">
        <v>3</v>
      </c>
      <c r="Z71" t="e">
        <f>#REF!</f>
        <v>#REF!</v>
      </c>
      <c r="AA71">
        <v>-1708355975</v>
      </c>
      <c r="AB71">
        <v>-1708355975</v>
      </c>
    </row>
    <row r="72" spans="1:28" x14ac:dyDescent="0.25">
      <c r="A72">
        <v>20</v>
      </c>
      <c r="B72">
        <v>150</v>
      </c>
      <c r="C72">
        <v>3</v>
      </c>
      <c r="D72">
        <v>0</v>
      </c>
      <c r="E72" t="e">
        <f>#REF!</f>
        <v>#REF!</v>
      </c>
      <c r="F72" t="e">
        <f>#REF!</f>
        <v>#REF!</v>
      </c>
      <c r="G72" t="e">
        <f>#REF!</f>
        <v>#REF!</v>
      </c>
      <c r="H72" t="e">
        <f>#REF!</f>
        <v>#REF!</v>
      </c>
      <c r="I72" t="e">
        <f>#REF!*#REF!</f>
        <v>#REF!</v>
      </c>
      <c r="J72" t="e">
        <f>#REF!</f>
        <v>#REF!</v>
      </c>
      <c r="K72" t="e">
        <f>#REF!</f>
        <v>#REF!</v>
      </c>
      <c r="L72" t="e">
        <f>#REF!</f>
        <v>#REF!</v>
      </c>
      <c r="M72" t="e">
        <f>ROUND(ROUND(L72*#REF!, 6)*1, 2)</f>
        <v>#REF!</v>
      </c>
      <c r="N72" t="e">
        <f>#REF!</f>
        <v>#REF!</v>
      </c>
      <c r="O72" t="e">
        <f>ROUND(ROUND(L72*#REF!, 6)*#REF!, 2)</f>
        <v>#REF!</v>
      </c>
      <c r="P72" t="e">
        <f>#REF!</f>
        <v>#REF!</v>
      </c>
      <c r="Q72" t="e">
        <f>#REF!</f>
        <v>#REF!</v>
      </c>
      <c r="R72" t="e">
        <f>ROUND(ROUND(Q72*#REF!, 6)*1, 2)</f>
        <v>#REF!</v>
      </c>
      <c r="S72" t="e">
        <f>#REF!</f>
        <v>#REF!</v>
      </c>
      <c r="T72" t="e">
        <f>ROUND(ROUND(Q72*#REF!, 6)*#REF!, 2)</f>
        <v>#REF!</v>
      </c>
      <c r="U72">
        <v>3</v>
      </c>
      <c r="Z72" t="e">
        <f>#REF!</f>
        <v>#REF!</v>
      </c>
      <c r="AA72">
        <v>154866120</v>
      </c>
      <c r="AB72">
        <v>154866120</v>
      </c>
    </row>
    <row r="73" spans="1:28" x14ac:dyDescent="0.25">
      <c r="A73">
        <v>20</v>
      </c>
      <c r="B73">
        <v>149</v>
      </c>
      <c r="C73">
        <v>3</v>
      </c>
      <c r="D73">
        <v>0</v>
      </c>
      <c r="E73" t="e">
        <f>#REF!</f>
        <v>#REF!</v>
      </c>
      <c r="F73" t="e">
        <f>#REF!</f>
        <v>#REF!</v>
      </c>
      <c r="G73" t="e">
        <f>#REF!</f>
        <v>#REF!</v>
      </c>
      <c r="H73" t="e">
        <f>#REF!</f>
        <v>#REF!</v>
      </c>
      <c r="I73" t="e">
        <f>#REF!*#REF!</f>
        <v>#REF!</v>
      </c>
      <c r="J73" t="e">
        <f>#REF!</f>
        <v>#REF!</v>
      </c>
      <c r="K73" t="e">
        <f>#REF!</f>
        <v>#REF!</v>
      </c>
      <c r="L73" t="e">
        <f>#REF!</f>
        <v>#REF!</v>
      </c>
      <c r="M73" t="e">
        <f>ROUND(ROUND(L73*#REF!, 6)*1, 2)</f>
        <v>#REF!</v>
      </c>
      <c r="N73" t="e">
        <f>#REF!</f>
        <v>#REF!</v>
      </c>
      <c r="O73" t="e">
        <f>ROUND(ROUND(L73*#REF!, 6)*#REF!, 2)</f>
        <v>#REF!</v>
      </c>
      <c r="P73" t="e">
        <f>#REF!</f>
        <v>#REF!</v>
      </c>
      <c r="Q73" t="e">
        <f>#REF!</f>
        <v>#REF!</v>
      </c>
      <c r="R73" t="e">
        <f>ROUND(ROUND(Q73*#REF!, 6)*1, 2)</f>
        <v>#REF!</v>
      </c>
      <c r="S73" t="e">
        <f>#REF!</f>
        <v>#REF!</v>
      </c>
      <c r="T73" t="e">
        <f>ROUND(ROUND(Q73*#REF!, 6)*#REF!, 2)</f>
        <v>#REF!</v>
      </c>
      <c r="U73">
        <v>3</v>
      </c>
      <c r="Z73" t="e">
        <f>#REF!</f>
        <v>#REF!</v>
      </c>
      <c r="AA73">
        <v>1203958368</v>
      </c>
      <c r="AB73">
        <v>1203958368</v>
      </c>
    </row>
    <row r="74" spans="1:28" x14ac:dyDescent="0.25">
      <c r="A74">
        <v>20</v>
      </c>
      <c r="B74">
        <v>148</v>
      </c>
      <c r="C74">
        <v>3</v>
      </c>
      <c r="D74">
        <v>0</v>
      </c>
      <c r="E74" t="e">
        <f>#REF!</f>
        <v>#REF!</v>
      </c>
      <c r="F74" t="e">
        <f>#REF!</f>
        <v>#REF!</v>
      </c>
      <c r="G74" t="e">
        <f>#REF!</f>
        <v>#REF!</v>
      </c>
      <c r="H74" t="e">
        <f>#REF!</f>
        <v>#REF!</v>
      </c>
      <c r="I74" t="e">
        <f>#REF!*#REF!</f>
        <v>#REF!</v>
      </c>
      <c r="J74" t="e">
        <f>#REF!</f>
        <v>#REF!</v>
      </c>
      <c r="K74" t="e">
        <f>#REF!</f>
        <v>#REF!</v>
      </c>
      <c r="L74" t="e">
        <f>#REF!</f>
        <v>#REF!</v>
      </c>
      <c r="M74" t="e">
        <f>ROUND(ROUND(L74*#REF!, 6)*1, 2)</f>
        <v>#REF!</v>
      </c>
      <c r="N74" t="e">
        <f>#REF!</f>
        <v>#REF!</v>
      </c>
      <c r="O74" t="e">
        <f>ROUND(ROUND(L74*#REF!, 6)*#REF!, 2)</f>
        <v>#REF!</v>
      </c>
      <c r="P74" t="e">
        <f>#REF!</f>
        <v>#REF!</v>
      </c>
      <c r="Q74" t="e">
        <f>#REF!</f>
        <v>#REF!</v>
      </c>
      <c r="R74" t="e">
        <f>ROUND(ROUND(Q74*#REF!, 6)*1, 2)</f>
        <v>#REF!</v>
      </c>
      <c r="S74" t="e">
        <f>#REF!</f>
        <v>#REF!</v>
      </c>
      <c r="T74" t="e">
        <f>ROUND(ROUND(Q74*#REF!, 6)*#REF!, 2)</f>
        <v>#REF!</v>
      </c>
      <c r="U74">
        <v>3</v>
      </c>
      <c r="Z74" t="e">
        <f>#REF!</f>
        <v>#REF!</v>
      </c>
      <c r="AA74">
        <v>-1478947404</v>
      </c>
      <c r="AB74">
        <v>-1478947404</v>
      </c>
    </row>
    <row r="75" spans="1:28" x14ac:dyDescent="0.25">
      <c r="A75">
        <v>20</v>
      </c>
      <c r="B75">
        <v>164</v>
      </c>
      <c r="C75">
        <v>3</v>
      </c>
      <c r="D75">
        <v>0</v>
      </c>
      <c r="E75" t="e">
        <f>#REF!</f>
        <v>#REF!</v>
      </c>
      <c r="F75" t="e">
        <f>#REF!</f>
        <v>#REF!</v>
      </c>
      <c r="G75" t="e">
        <f>#REF!</f>
        <v>#REF!</v>
      </c>
      <c r="H75" t="e">
        <f>#REF!</f>
        <v>#REF!</v>
      </c>
      <c r="I75" t="e">
        <f>#REF!*#REF!</f>
        <v>#REF!</v>
      </c>
      <c r="J75" t="e">
        <f>#REF!</f>
        <v>#REF!</v>
      </c>
      <c r="K75" t="e">
        <f>#REF!</f>
        <v>#REF!</v>
      </c>
      <c r="L75" t="e">
        <f>#REF!</f>
        <v>#REF!</v>
      </c>
      <c r="M75" t="e">
        <f>ROUND(ROUND(L75*#REF!, 6)*1, 2)</f>
        <v>#REF!</v>
      </c>
      <c r="N75" t="e">
        <f>#REF!</f>
        <v>#REF!</v>
      </c>
      <c r="O75" t="e">
        <f>ROUND(ROUND(L75*#REF!, 6)*#REF!, 2)</f>
        <v>#REF!</v>
      </c>
      <c r="P75" t="e">
        <f>#REF!</f>
        <v>#REF!</v>
      </c>
      <c r="Q75" t="e">
        <f>#REF!</f>
        <v>#REF!</v>
      </c>
      <c r="R75" t="e">
        <f>ROUND(ROUND(Q75*#REF!, 6)*1, 2)</f>
        <v>#REF!</v>
      </c>
      <c r="S75" t="e">
        <f>#REF!</f>
        <v>#REF!</v>
      </c>
      <c r="T75" t="e">
        <f>ROUND(ROUND(Q75*#REF!, 6)*#REF!, 2)</f>
        <v>#REF!</v>
      </c>
      <c r="U75">
        <v>3</v>
      </c>
      <c r="Z75" t="e">
        <f>#REF!</f>
        <v>#REF!</v>
      </c>
      <c r="AA75">
        <v>-574480071</v>
      </c>
      <c r="AB75">
        <v>-574480071</v>
      </c>
    </row>
    <row r="76" spans="1:28" x14ac:dyDescent="0.25">
      <c r="A76">
        <v>20</v>
      </c>
      <c r="B76">
        <v>163</v>
      </c>
      <c r="C76">
        <v>3</v>
      </c>
      <c r="D76">
        <v>0</v>
      </c>
      <c r="E76" t="e">
        <f>#REF!</f>
        <v>#REF!</v>
      </c>
      <c r="F76" t="e">
        <f>#REF!</f>
        <v>#REF!</v>
      </c>
      <c r="G76" t="e">
        <f>#REF!</f>
        <v>#REF!</v>
      </c>
      <c r="H76" t="e">
        <f>#REF!</f>
        <v>#REF!</v>
      </c>
      <c r="I76" t="e">
        <f>#REF!*#REF!</f>
        <v>#REF!</v>
      </c>
      <c r="J76" t="e">
        <f>#REF!</f>
        <v>#REF!</v>
      </c>
      <c r="K76" t="e">
        <f>#REF!</f>
        <v>#REF!</v>
      </c>
      <c r="L76" t="e">
        <f>#REF!</f>
        <v>#REF!</v>
      </c>
      <c r="M76" t="e">
        <f>ROUND(ROUND(L76*#REF!, 6)*1, 2)</f>
        <v>#REF!</v>
      </c>
      <c r="N76" t="e">
        <f>#REF!</f>
        <v>#REF!</v>
      </c>
      <c r="O76" t="e">
        <f>ROUND(ROUND(L76*#REF!, 6)*#REF!, 2)</f>
        <v>#REF!</v>
      </c>
      <c r="P76" t="e">
        <f>#REF!</f>
        <v>#REF!</v>
      </c>
      <c r="Q76" t="e">
        <f>#REF!</f>
        <v>#REF!</v>
      </c>
      <c r="R76" t="e">
        <f>ROUND(ROUND(Q76*#REF!, 6)*1, 2)</f>
        <v>#REF!</v>
      </c>
      <c r="S76" t="e">
        <f>#REF!</f>
        <v>#REF!</v>
      </c>
      <c r="T76" t="e">
        <f>ROUND(ROUND(Q76*#REF!, 6)*#REF!, 2)</f>
        <v>#REF!</v>
      </c>
      <c r="U76">
        <v>3</v>
      </c>
      <c r="Z76" t="e">
        <f>#REF!</f>
        <v>#REF!</v>
      </c>
      <c r="AA76">
        <v>-1669651820</v>
      </c>
      <c r="AB76">
        <v>-1669651820</v>
      </c>
    </row>
    <row r="77" spans="1:28" x14ac:dyDescent="0.25">
      <c r="A77">
        <v>20</v>
      </c>
      <c r="B77">
        <v>162</v>
      </c>
      <c r="C77">
        <v>3</v>
      </c>
      <c r="D77">
        <v>0</v>
      </c>
      <c r="E77" t="e">
        <f>#REF!</f>
        <v>#REF!</v>
      </c>
      <c r="F77" t="e">
        <f>#REF!</f>
        <v>#REF!</v>
      </c>
      <c r="G77" t="e">
        <f>#REF!</f>
        <v>#REF!</v>
      </c>
      <c r="H77" t="e">
        <f>#REF!</f>
        <v>#REF!</v>
      </c>
      <c r="I77" t="e">
        <f>#REF!*#REF!</f>
        <v>#REF!</v>
      </c>
      <c r="J77" t="e">
        <f>#REF!</f>
        <v>#REF!</v>
      </c>
      <c r="K77" t="e">
        <f>#REF!</f>
        <v>#REF!</v>
      </c>
      <c r="L77" t="e">
        <f>#REF!</f>
        <v>#REF!</v>
      </c>
      <c r="M77" t="e">
        <f>ROUND(ROUND(L77*#REF!, 6)*1, 2)</f>
        <v>#REF!</v>
      </c>
      <c r="N77" t="e">
        <f>#REF!</f>
        <v>#REF!</v>
      </c>
      <c r="O77" t="e">
        <f>ROUND(ROUND(L77*#REF!, 6)*#REF!, 2)</f>
        <v>#REF!</v>
      </c>
      <c r="P77" t="e">
        <f>#REF!</f>
        <v>#REF!</v>
      </c>
      <c r="Q77" t="e">
        <f>#REF!</f>
        <v>#REF!</v>
      </c>
      <c r="R77" t="e">
        <f>ROUND(ROUND(Q77*#REF!, 6)*1, 2)</f>
        <v>#REF!</v>
      </c>
      <c r="S77" t="e">
        <f>#REF!</f>
        <v>#REF!</v>
      </c>
      <c r="T77" t="e">
        <f>ROUND(ROUND(Q77*#REF!, 6)*#REF!, 2)</f>
        <v>#REF!</v>
      </c>
      <c r="U77">
        <v>3</v>
      </c>
      <c r="Z77" t="e">
        <f>#REF!</f>
        <v>#REF!</v>
      </c>
      <c r="AA77">
        <v>131371071</v>
      </c>
      <c r="AB77">
        <v>131371071</v>
      </c>
    </row>
    <row r="78" spans="1:28" x14ac:dyDescent="0.25">
      <c r="A78">
        <v>20</v>
      </c>
      <c r="B78">
        <v>161</v>
      </c>
      <c r="C78">
        <v>3</v>
      </c>
      <c r="D78">
        <v>0</v>
      </c>
      <c r="E78" t="e">
        <f>#REF!</f>
        <v>#REF!</v>
      </c>
      <c r="F78" t="e">
        <f>#REF!</f>
        <v>#REF!</v>
      </c>
      <c r="G78" t="e">
        <f>#REF!</f>
        <v>#REF!</v>
      </c>
      <c r="H78" t="e">
        <f>#REF!</f>
        <v>#REF!</v>
      </c>
      <c r="I78" t="e">
        <f>#REF!*#REF!</f>
        <v>#REF!</v>
      </c>
      <c r="J78" t="e">
        <f>#REF!</f>
        <v>#REF!</v>
      </c>
      <c r="K78" t="e">
        <f>#REF!</f>
        <v>#REF!</v>
      </c>
      <c r="L78" t="e">
        <f>#REF!</f>
        <v>#REF!</v>
      </c>
      <c r="M78" t="e">
        <f>ROUND(ROUND(L78*#REF!, 6)*1, 2)</f>
        <v>#REF!</v>
      </c>
      <c r="N78" t="e">
        <f>#REF!</f>
        <v>#REF!</v>
      </c>
      <c r="O78" t="e">
        <f>ROUND(ROUND(L78*#REF!, 6)*#REF!, 2)</f>
        <v>#REF!</v>
      </c>
      <c r="P78" t="e">
        <f>#REF!</f>
        <v>#REF!</v>
      </c>
      <c r="Q78" t="e">
        <f>#REF!</f>
        <v>#REF!</v>
      </c>
      <c r="R78" t="e">
        <f>ROUND(ROUND(Q78*#REF!, 6)*1, 2)</f>
        <v>#REF!</v>
      </c>
      <c r="S78" t="e">
        <f>#REF!</f>
        <v>#REF!</v>
      </c>
      <c r="T78" t="e">
        <f>ROUND(ROUND(Q78*#REF!, 6)*#REF!, 2)</f>
        <v>#REF!</v>
      </c>
      <c r="U78">
        <v>3</v>
      </c>
      <c r="Z78" t="e">
        <f>#REF!</f>
        <v>#REF!</v>
      </c>
      <c r="AA78">
        <v>-241701808</v>
      </c>
      <c r="AB78">
        <v>-241701808</v>
      </c>
    </row>
    <row r="79" spans="1:28" x14ac:dyDescent="0.25">
      <c r="A79">
        <v>20</v>
      </c>
      <c r="B79">
        <v>160</v>
      </c>
      <c r="C79">
        <v>3</v>
      </c>
      <c r="D79">
        <v>0</v>
      </c>
      <c r="E79" t="e">
        <f>#REF!</f>
        <v>#REF!</v>
      </c>
      <c r="F79" t="e">
        <f>#REF!</f>
        <v>#REF!</v>
      </c>
      <c r="G79" t="e">
        <f>#REF!</f>
        <v>#REF!</v>
      </c>
      <c r="H79" t="e">
        <f>#REF!</f>
        <v>#REF!</v>
      </c>
      <c r="I79" t="e">
        <f>#REF!*#REF!</f>
        <v>#REF!</v>
      </c>
      <c r="J79" t="e">
        <f>#REF!</f>
        <v>#REF!</v>
      </c>
      <c r="K79" t="e">
        <f>#REF!</f>
        <v>#REF!</v>
      </c>
      <c r="L79" t="e">
        <f>#REF!</f>
        <v>#REF!</v>
      </c>
      <c r="M79" t="e">
        <f>ROUND(ROUND(L79*#REF!, 6)*1, 2)</f>
        <v>#REF!</v>
      </c>
      <c r="N79" t="e">
        <f>#REF!</f>
        <v>#REF!</v>
      </c>
      <c r="O79" t="e">
        <f>ROUND(ROUND(L79*#REF!, 6)*#REF!, 2)</f>
        <v>#REF!</v>
      </c>
      <c r="P79" t="e">
        <f>#REF!</f>
        <v>#REF!</v>
      </c>
      <c r="Q79" t="e">
        <f>#REF!</f>
        <v>#REF!</v>
      </c>
      <c r="R79" t="e">
        <f>ROUND(ROUND(Q79*#REF!, 6)*1, 2)</f>
        <v>#REF!</v>
      </c>
      <c r="S79" t="e">
        <f>#REF!</f>
        <v>#REF!</v>
      </c>
      <c r="T79" t="e">
        <f>ROUND(ROUND(Q79*#REF!, 6)*#REF!, 2)</f>
        <v>#REF!</v>
      </c>
      <c r="U79">
        <v>3</v>
      </c>
      <c r="Z79" t="e">
        <f>#REF!</f>
        <v>#REF!</v>
      </c>
      <c r="AA79">
        <v>1203958368</v>
      </c>
      <c r="AB79">
        <v>1203958368</v>
      </c>
    </row>
    <row r="80" spans="1:28" x14ac:dyDescent="0.25">
      <c r="A80">
        <v>20</v>
      </c>
      <c r="B80">
        <v>159</v>
      </c>
      <c r="C80">
        <v>3</v>
      </c>
      <c r="D80">
        <v>0</v>
      </c>
      <c r="E80" t="e">
        <f>#REF!</f>
        <v>#REF!</v>
      </c>
      <c r="F80" t="e">
        <f>#REF!</f>
        <v>#REF!</v>
      </c>
      <c r="G80" t="e">
        <f>#REF!</f>
        <v>#REF!</v>
      </c>
      <c r="H80" t="e">
        <f>#REF!</f>
        <v>#REF!</v>
      </c>
      <c r="I80" t="e">
        <f>#REF!*#REF!</f>
        <v>#REF!</v>
      </c>
      <c r="J80" t="e">
        <f>#REF!</f>
        <v>#REF!</v>
      </c>
      <c r="K80" t="e">
        <f>#REF!</f>
        <v>#REF!</v>
      </c>
      <c r="L80" t="e">
        <f>#REF!</f>
        <v>#REF!</v>
      </c>
      <c r="M80" t="e">
        <f>ROUND(ROUND(L80*#REF!, 6)*1, 2)</f>
        <v>#REF!</v>
      </c>
      <c r="N80" t="e">
        <f>#REF!</f>
        <v>#REF!</v>
      </c>
      <c r="O80" t="e">
        <f>ROUND(ROUND(L80*#REF!, 6)*#REF!, 2)</f>
        <v>#REF!</v>
      </c>
      <c r="P80" t="e">
        <f>#REF!</f>
        <v>#REF!</v>
      </c>
      <c r="Q80" t="e">
        <f>#REF!</f>
        <v>#REF!</v>
      </c>
      <c r="R80" t="e">
        <f>ROUND(ROUND(Q80*#REF!, 6)*1, 2)</f>
        <v>#REF!</v>
      </c>
      <c r="S80" t="e">
        <f>#REF!</f>
        <v>#REF!</v>
      </c>
      <c r="T80" t="e">
        <f>ROUND(ROUND(Q80*#REF!, 6)*#REF!, 2)</f>
        <v>#REF!</v>
      </c>
      <c r="U80">
        <v>3</v>
      </c>
      <c r="Z80" t="e">
        <f>#REF!</f>
        <v>#REF!</v>
      </c>
      <c r="AA80">
        <v>156568662</v>
      </c>
      <c r="AB80">
        <v>156568662</v>
      </c>
    </row>
    <row r="81" spans="1:28" x14ac:dyDescent="0.25">
      <c r="A81">
        <v>20</v>
      </c>
      <c r="B81">
        <v>166</v>
      </c>
      <c r="C81">
        <v>3</v>
      </c>
      <c r="D81">
        <v>0</v>
      </c>
      <c r="E81" t="e">
        <f>#REF!</f>
        <v>#REF!</v>
      </c>
      <c r="F81" t="e">
        <f>#REF!</f>
        <v>#REF!</v>
      </c>
      <c r="G81" t="e">
        <f>#REF!</f>
        <v>#REF!</v>
      </c>
      <c r="H81" t="e">
        <f>#REF!</f>
        <v>#REF!</v>
      </c>
      <c r="I81" t="e">
        <f>#REF!*#REF!</f>
        <v>#REF!</v>
      </c>
      <c r="J81" t="e">
        <f>#REF!</f>
        <v>#REF!</v>
      </c>
      <c r="K81" t="e">
        <f>#REF!</f>
        <v>#REF!</v>
      </c>
      <c r="L81" t="e">
        <f>#REF!</f>
        <v>#REF!</v>
      </c>
      <c r="M81" t="e">
        <f>ROUND(ROUND(L81*#REF!, 6)*1, 2)</f>
        <v>#REF!</v>
      </c>
      <c r="N81" t="e">
        <f>#REF!</f>
        <v>#REF!</v>
      </c>
      <c r="O81" t="e">
        <f>ROUND(ROUND(L81*#REF!, 6)*#REF!, 2)</f>
        <v>#REF!</v>
      </c>
      <c r="P81" t="e">
        <f>#REF!</f>
        <v>#REF!</v>
      </c>
      <c r="Q81" t="e">
        <f>#REF!</f>
        <v>#REF!</v>
      </c>
      <c r="R81" t="e">
        <f>ROUND(ROUND(Q81*#REF!, 6)*1, 2)</f>
        <v>#REF!</v>
      </c>
      <c r="S81" t="e">
        <f>#REF!</f>
        <v>#REF!</v>
      </c>
      <c r="T81" t="e">
        <f>ROUND(ROUND(Q81*#REF!, 6)*#REF!, 2)</f>
        <v>#REF!</v>
      </c>
      <c r="U81">
        <v>3</v>
      </c>
      <c r="Z81" t="e">
        <f>#REF!</f>
        <v>#REF!</v>
      </c>
      <c r="AA81">
        <v>-1441282829</v>
      </c>
      <c r="AB81">
        <v>-1441282829</v>
      </c>
    </row>
    <row r="82" spans="1:28" x14ac:dyDescent="0.25">
      <c r="A82" t="e">
        <f>#REF!</f>
        <v>#REF!</v>
      </c>
      <c r="B82">
        <v>204</v>
      </c>
      <c r="G82" t="e">
        <f>#REF!</f>
        <v>#REF!</v>
      </c>
    </row>
    <row r="83" spans="1:28" x14ac:dyDescent="0.25">
      <c r="A83">
        <v>20</v>
      </c>
      <c r="B83">
        <v>229</v>
      </c>
      <c r="C83">
        <v>3</v>
      </c>
      <c r="D83">
        <v>0</v>
      </c>
      <c r="E83" t="e">
        <f>#REF!</f>
        <v>#REF!</v>
      </c>
      <c r="F83" t="e">
        <f>#REF!</f>
        <v>#REF!</v>
      </c>
      <c r="G83" t="e">
        <f>#REF!</f>
        <v>#REF!</v>
      </c>
      <c r="H83" t="e">
        <f>#REF!</f>
        <v>#REF!</v>
      </c>
      <c r="I83" t="e">
        <f>#REF!*#REF!</f>
        <v>#REF!</v>
      </c>
      <c r="J83" t="e">
        <f>#REF!</f>
        <v>#REF!</v>
      </c>
      <c r="K83" t="e">
        <f>#REF!</f>
        <v>#REF!</v>
      </c>
      <c r="L83" t="e">
        <f>#REF!</f>
        <v>#REF!</v>
      </c>
      <c r="M83" t="e">
        <f>ROUND(ROUND(L83*#REF!, 6)*1, 2)</f>
        <v>#REF!</v>
      </c>
      <c r="N83" t="e">
        <f>#REF!</f>
        <v>#REF!</v>
      </c>
      <c r="O83" t="e">
        <f>ROUND(ROUND(L83*#REF!, 6)*#REF!, 2)</f>
        <v>#REF!</v>
      </c>
      <c r="P83" t="e">
        <f>#REF!</f>
        <v>#REF!</v>
      </c>
      <c r="Q83" t="e">
        <f>#REF!</f>
        <v>#REF!</v>
      </c>
      <c r="R83" t="e">
        <f>ROUND(ROUND(Q83*#REF!, 6)*1, 2)</f>
        <v>#REF!</v>
      </c>
      <c r="S83" t="e">
        <f>#REF!</f>
        <v>#REF!</v>
      </c>
      <c r="T83" t="e">
        <f>ROUND(ROUND(Q83*#REF!, 6)*#REF!, 2)</f>
        <v>#REF!</v>
      </c>
      <c r="U83">
        <v>3</v>
      </c>
      <c r="Z83" t="e">
        <f>#REF!</f>
        <v>#REF!</v>
      </c>
      <c r="AA83">
        <v>2033978248</v>
      </c>
      <c r="AB83">
        <v>2033978248</v>
      </c>
    </row>
    <row r="84" spans="1:28" x14ac:dyDescent="0.25">
      <c r="A84">
        <v>20</v>
      </c>
      <c r="B84">
        <v>228</v>
      </c>
      <c r="C84">
        <v>3</v>
      </c>
      <c r="D84">
        <v>0</v>
      </c>
      <c r="E84" t="e">
        <f>#REF!</f>
        <v>#REF!</v>
      </c>
      <c r="F84" t="e">
        <f>#REF!</f>
        <v>#REF!</v>
      </c>
      <c r="G84" t="e">
        <f>#REF!</f>
        <v>#REF!</v>
      </c>
      <c r="H84" t="e">
        <f>#REF!</f>
        <v>#REF!</v>
      </c>
      <c r="I84" t="e">
        <f>#REF!*#REF!</f>
        <v>#REF!</v>
      </c>
      <c r="J84" t="e">
        <f>#REF!</f>
        <v>#REF!</v>
      </c>
      <c r="K84" t="e">
        <f>#REF!</f>
        <v>#REF!</v>
      </c>
      <c r="L84" t="e">
        <f>#REF!</f>
        <v>#REF!</v>
      </c>
      <c r="M84" t="e">
        <f>ROUND(ROUND(L84*#REF!, 6)*1, 2)</f>
        <v>#REF!</v>
      </c>
      <c r="N84" t="e">
        <f>#REF!</f>
        <v>#REF!</v>
      </c>
      <c r="O84" t="e">
        <f>ROUND(ROUND(L84*#REF!, 6)*#REF!, 2)</f>
        <v>#REF!</v>
      </c>
      <c r="P84" t="e">
        <f>#REF!</f>
        <v>#REF!</v>
      </c>
      <c r="Q84" t="e">
        <f>#REF!</f>
        <v>#REF!</v>
      </c>
      <c r="R84" t="e">
        <f>ROUND(ROUND(Q84*#REF!, 6)*1, 2)</f>
        <v>#REF!</v>
      </c>
      <c r="S84" t="e">
        <f>#REF!</f>
        <v>#REF!</v>
      </c>
      <c r="T84" t="e">
        <f>ROUND(ROUND(Q84*#REF!, 6)*#REF!, 2)</f>
        <v>#REF!</v>
      </c>
      <c r="U84">
        <v>3</v>
      </c>
      <c r="Z84" t="e">
        <f>#REF!</f>
        <v>#REF!</v>
      </c>
      <c r="AA84">
        <v>1335365742</v>
      </c>
      <c r="AB84">
        <v>1335365742</v>
      </c>
    </row>
    <row r="85" spans="1:28" x14ac:dyDescent="0.25">
      <c r="A85">
        <v>20</v>
      </c>
      <c r="B85">
        <v>227</v>
      </c>
      <c r="C85">
        <v>3</v>
      </c>
      <c r="D85">
        <v>0</v>
      </c>
      <c r="E85" t="e">
        <f>#REF!</f>
        <v>#REF!</v>
      </c>
      <c r="F85" t="e">
        <f>#REF!</f>
        <v>#REF!</v>
      </c>
      <c r="G85" t="e">
        <f>#REF!</f>
        <v>#REF!</v>
      </c>
      <c r="H85" t="e">
        <f>#REF!</f>
        <v>#REF!</v>
      </c>
      <c r="I85" t="e">
        <f>#REF!*#REF!</f>
        <v>#REF!</v>
      </c>
      <c r="J85" t="e">
        <f>#REF!</f>
        <v>#REF!</v>
      </c>
      <c r="K85" t="e">
        <f>#REF!</f>
        <v>#REF!</v>
      </c>
      <c r="L85" t="e">
        <f>#REF!</f>
        <v>#REF!</v>
      </c>
      <c r="M85" t="e">
        <f>ROUND(ROUND(L85*#REF!, 6)*1, 2)</f>
        <v>#REF!</v>
      </c>
      <c r="N85" t="e">
        <f>#REF!</f>
        <v>#REF!</v>
      </c>
      <c r="O85" t="e">
        <f>ROUND(ROUND(L85*#REF!, 6)*#REF!, 2)</f>
        <v>#REF!</v>
      </c>
      <c r="P85" t="e">
        <f>#REF!</f>
        <v>#REF!</v>
      </c>
      <c r="Q85" t="e">
        <f>#REF!</f>
        <v>#REF!</v>
      </c>
      <c r="R85" t="e">
        <f>ROUND(ROUND(Q85*#REF!, 6)*1, 2)</f>
        <v>#REF!</v>
      </c>
      <c r="S85" t="e">
        <f>#REF!</f>
        <v>#REF!</v>
      </c>
      <c r="T85" t="e">
        <f>ROUND(ROUND(Q85*#REF!, 6)*#REF!, 2)</f>
        <v>#REF!</v>
      </c>
      <c r="U85">
        <v>3</v>
      </c>
      <c r="Z85" t="e">
        <f>#REF!</f>
        <v>#REF!</v>
      </c>
      <c r="AA85">
        <v>1199905882</v>
      </c>
      <c r="AB85">
        <v>1199905882</v>
      </c>
    </row>
    <row r="86" spans="1:28" x14ac:dyDescent="0.25">
      <c r="A86">
        <v>20</v>
      </c>
      <c r="B86">
        <v>226</v>
      </c>
      <c r="C86">
        <v>3</v>
      </c>
      <c r="D86">
        <v>0</v>
      </c>
      <c r="E86" t="e">
        <f>#REF!</f>
        <v>#REF!</v>
      </c>
      <c r="F86" t="e">
        <f>#REF!</f>
        <v>#REF!</v>
      </c>
      <c r="G86" t="e">
        <f>#REF!</f>
        <v>#REF!</v>
      </c>
      <c r="H86" t="e">
        <f>#REF!</f>
        <v>#REF!</v>
      </c>
      <c r="I86" t="e">
        <f>#REF!*#REF!</f>
        <v>#REF!</v>
      </c>
      <c r="J86" t="e">
        <f>#REF!</f>
        <v>#REF!</v>
      </c>
      <c r="K86" t="e">
        <f>#REF!</f>
        <v>#REF!</v>
      </c>
      <c r="L86" t="e">
        <f>#REF!</f>
        <v>#REF!</v>
      </c>
      <c r="M86" t="e">
        <f>ROUND(ROUND(L86*#REF!, 6)*1, 2)</f>
        <v>#REF!</v>
      </c>
      <c r="N86" t="e">
        <f>#REF!</f>
        <v>#REF!</v>
      </c>
      <c r="O86" t="e">
        <f>ROUND(ROUND(L86*#REF!, 6)*#REF!, 2)</f>
        <v>#REF!</v>
      </c>
      <c r="P86" t="e">
        <f>#REF!</f>
        <v>#REF!</v>
      </c>
      <c r="Q86" t="e">
        <f>#REF!</f>
        <v>#REF!</v>
      </c>
      <c r="R86" t="e">
        <f>ROUND(ROUND(Q86*#REF!, 6)*1, 2)</f>
        <v>#REF!</v>
      </c>
      <c r="S86" t="e">
        <f>#REF!</f>
        <v>#REF!</v>
      </c>
      <c r="T86" t="e">
        <f>ROUND(ROUND(Q86*#REF!, 6)*#REF!, 2)</f>
        <v>#REF!</v>
      </c>
      <c r="U86">
        <v>3</v>
      </c>
      <c r="Z86" t="e">
        <f>#REF!</f>
        <v>#REF!</v>
      </c>
      <c r="AA86">
        <v>503190601</v>
      </c>
      <c r="AB86">
        <v>503190601</v>
      </c>
    </row>
    <row r="87" spans="1:28" x14ac:dyDescent="0.25">
      <c r="A87">
        <v>20</v>
      </c>
      <c r="B87">
        <v>223</v>
      </c>
      <c r="C87">
        <v>3</v>
      </c>
      <c r="D87">
        <v>0</v>
      </c>
      <c r="E87" t="e">
        <f>#REF!</f>
        <v>#REF!</v>
      </c>
      <c r="F87" t="e">
        <f>#REF!</f>
        <v>#REF!</v>
      </c>
      <c r="G87" t="e">
        <f>#REF!</f>
        <v>#REF!</v>
      </c>
      <c r="H87" t="e">
        <f>#REF!</f>
        <v>#REF!</v>
      </c>
      <c r="I87" t="e">
        <f>#REF!*#REF!</f>
        <v>#REF!</v>
      </c>
      <c r="J87" t="e">
        <f>#REF!</f>
        <v>#REF!</v>
      </c>
      <c r="K87" t="e">
        <f>#REF!</f>
        <v>#REF!</v>
      </c>
      <c r="L87" t="e">
        <f>#REF!</f>
        <v>#REF!</v>
      </c>
      <c r="M87" t="e">
        <f>ROUND(ROUND(L87*#REF!, 6)*1, 2)</f>
        <v>#REF!</v>
      </c>
      <c r="N87" t="e">
        <f>#REF!</f>
        <v>#REF!</v>
      </c>
      <c r="O87" t="e">
        <f>ROUND(ROUND(L87*#REF!, 6)*#REF!, 2)</f>
        <v>#REF!</v>
      </c>
      <c r="P87" t="e">
        <f>#REF!</f>
        <v>#REF!</v>
      </c>
      <c r="Q87" t="e">
        <f>#REF!</f>
        <v>#REF!</v>
      </c>
      <c r="R87" t="e">
        <f>ROUND(ROUND(Q87*#REF!, 6)*1, 2)</f>
        <v>#REF!</v>
      </c>
      <c r="S87" t="e">
        <f>#REF!</f>
        <v>#REF!</v>
      </c>
      <c r="T87" t="e">
        <f>ROUND(ROUND(Q87*#REF!, 6)*#REF!, 2)</f>
        <v>#REF!</v>
      </c>
      <c r="U87">
        <v>3</v>
      </c>
      <c r="Z87" t="e">
        <f>#REF!</f>
        <v>#REF!</v>
      </c>
      <c r="AA87">
        <v>1566552438</v>
      </c>
      <c r="AB87">
        <v>1566552438</v>
      </c>
    </row>
    <row r="88" spans="1:28" x14ac:dyDescent="0.25">
      <c r="A88">
        <v>20</v>
      </c>
      <c r="B88">
        <v>222</v>
      </c>
      <c r="C88">
        <v>3</v>
      </c>
      <c r="D88">
        <v>0</v>
      </c>
      <c r="E88" t="e">
        <f>#REF!</f>
        <v>#REF!</v>
      </c>
      <c r="F88" t="e">
        <f>#REF!</f>
        <v>#REF!</v>
      </c>
      <c r="G88" t="e">
        <f>#REF!</f>
        <v>#REF!</v>
      </c>
      <c r="H88" t="e">
        <f>#REF!</f>
        <v>#REF!</v>
      </c>
      <c r="I88" t="e">
        <f>#REF!*#REF!</f>
        <v>#REF!</v>
      </c>
      <c r="J88" t="e">
        <f>#REF!</f>
        <v>#REF!</v>
      </c>
      <c r="K88" t="e">
        <f>#REF!</f>
        <v>#REF!</v>
      </c>
      <c r="L88" t="e">
        <f>#REF!</f>
        <v>#REF!</v>
      </c>
      <c r="M88" t="e">
        <f>ROUND(ROUND(L88*#REF!, 6)*1, 2)</f>
        <v>#REF!</v>
      </c>
      <c r="N88" t="e">
        <f>#REF!</f>
        <v>#REF!</v>
      </c>
      <c r="O88" t="e">
        <f>ROUND(ROUND(L88*#REF!, 6)*#REF!, 2)</f>
        <v>#REF!</v>
      </c>
      <c r="P88" t="e">
        <f>#REF!</f>
        <v>#REF!</v>
      </c>
      <c r="Q88" t="e">
        <f>#REF!</f>
        <v>#REF!</v>
      </c>
      <c r="R88" t="e">
        <f>ROUND(ROUND(Q88*#REF!, 6)*1, 2)</f>
        <v>#REF!</v>
      </c>
      <c r="S88" t="e">
        <f>#REF!</f>
        <v>#REF!</v>
      </c>
      <c r="T88" t="e">
        <f>ROUND(ROUND(Q88*#REF!, 6)*#REF!, 2)</f>
        <v>#REF!</v>
      </c>
      <c r="U88">
        <v>3</v>
      </c>
      <c r="Z88" t="e">
        <f>#REF!</f>
        <v>#REF!</v>
      </c>
      <c r="AA88">
        <v>-349722524</v>
      </c>
      <c r="AB88">
        <v>-349722524</v>
      </c>
    </row>
    <row r="89" spans="1:28" x14ac:dyDescent="0.25">
      <c r="A89">
        <v>20</v>
      </c>
      <c r="B89">
        <v>221</v>
      </c>
      <c r="C89">
        <v>3</v>
      </c>
      <c r="D89">
        <v>0</v>
      </c>
      <c r="E89" t="e">
        <f>#REF!</f>
        <v>#REF!</v>
      </c>
      <c r="F89" t="e">
        <f>#REF!</f>
        <v>#REF!</v>
      </c>
      <c r="G89" t="e">
        <f>#REF!</f>
        <v>#REF!</v>
      </c>
      <c r="H89" t="e">
        <f>#REF!</f>
        <v>#REF!</v>
      </c>
      <c r="I89" t="e">
        <f>#REF!*#REF!</f>
        <v>#REF!</v>
      </c>
      <c r="J89" t="e">
        <f>#REF!</f>
        <v>#REF!</v>
      </c>
      <c r="K89" t="e">
        <f>#REF!</f>
        <v>#REF!</v>
      </c>
      <c r="L89" t="e">
        <f>#REF!</f>
        <v>#REF!</v>
      </c>
      <c r="M89" t="e">
        <f>ROUND(ROUND(L89*#REF!, 6)*1, 2)</f>
        <v>#REF!</v>
      </c>
      <c r="N89" t="e">
        <f>#REF!</f>
        <v>#REF!</v>
      </c>
      <c r="O89" t="e">
        <f>ROUND(ROUND(L89*#REF!, 6)*#REF!, 2)</f>
        <v>#REF!</v>
      </c>
      <c r="P89" t="e">
        <f>#REF!</f>
        <v>#REF!</v>
      </c>
      <c r="Q89" t="e">
        <f>#REF!</f>
        <v>#REF!</v>
      </c>
      <c r="R89" t="e">
        <f>ROUND(ROUND(Q89*#REF!, 6)*1, 2)</f>
        <v>#REF!</v>
      </c>
      <c r="S89" t="e">
        <f>#REF!</f>
        <v>#REF!</v>
      </c>
      <c r="T89" t="e">
        <f>ROUND(ROUND(Q89*#REF!, 6)*#REF!, 2)</f>
        <v>#REF!</v>
      </c>
      <c r="U89">
        <v>3</v>
      </c>
      <c r="Z89" t="e">
        <f>#REF!</f>
        <v>#REF!</v>
      </c>
      <c r="AA89">
        <v>-1686561151</v>
      </c>
      <c r="AB89">
        <v>-1686561151</v>
      </c>
    </row>
    <row r="90" spans="1:28" x14ac:dyDescent="0.25">
      <c r="A90">
        <v>20</v>
      </c>
      <c r="B90">
        <v>220</v>
      </c>
      <c r="C90">
        <v>3</v>
      </c>
      <c r="D90">
        <v>0</v>
      </c>
      <c r="E90" t="e">
        <f>#REF!</f>
        <v>#REF!</v>
      </c>
      <c r="F90" t="e">
        <f>#REF!</f>
        <v>#REF!</v>
      </c>
      <c r="G90" t="e">
        <f>#REF!</f>
        <v>#REF!</v>
      </c>
      <c r="H90" t="e">
        <f>#REF!</f>
        <v>#REF!</v>
      </c>
      <c r="I90" t="e">
        <f>#REF!*#REF!</f>
        <v>#REF!</v>
      </c>
      <c r="J90" t="e">
        <f>#REF!</f>
        <v>#REF!</v>
      </c>
      <c r="K90" t="e">
        <f>#REF!</f>
        <v>#REF!</v>
      </c>
      <c r="L90" t="e">
        <f>#REF!</f>
        <v>#REF!</v>
      </c>
      <c r="M90" t="e">
        <f>ROUND(ROUND(L90*#REF!, 6)*1, 2)</f>
        <v>#REF!</v>
      </c>
      <c r="N90" t="e">
        <f>#REF!</f>
        <v>#REF!</v>
      </c>
      <c r="O90" t="e">
        <f>ROUND(ROUND(L90*#REF!, 6)*#REF!, 2)</f>
        <v>#REF!</v>
      </c>
      <c r="P90" t="e">
        <f>#REF!</f>
        <v>#REF!</v>
      </c>
      <c r="Q90" t="e">
        <f>#REF!</f>
        <v>#REF!</v>
      </c>
      <c r="R90" t="e">
        <f>ROUND(ROUND(Q90*#REF!, 6)*1, 2)</f>
        <v>#REF!</v>
      </c>
      <c r="S90" t="e">
        <f>#REF!</f>
        <v>#REF!</v>
      </c>
      <c r="T90" t="e">
        <f>ROUND(ROUND(Q90*#REF!, 6)*#REF!, 2)</f>
        <v>#REF!</v>
      </c>
      <c r="U90">
        <v>3</v>
      </c>
      <c r="Z90" t="e">
        <f>#REF!</f>
        <v>#REF!</v>
      </c>
      <c r="AA90">
        <v>1203958368</v>
      </c>
      <c r="AB90">
        <v>1203958368</v>
      </c>
    </row>
    <row r="91" spans="1:28" x14ac:dyDescent="0.25">
      <c r="A91">
        <v>20</v>
      </c>
      <c r="B91">
        <v>219</v>
      </c>
      <c r="C91">
        <v>3</v>
      </c>
      <c r="D91">
        <v>0</v>
      </c>
      <c r="E91" t="e">
        <f>#REF!</f>
        <v>#REF!</v>
      </c>
      <c r="F91" t="e">
        <f>#REF!</f>
        <v>#REF!</v>
      </c>
      <c r="G91" t="e">
        <f>#REF!</f>
        <v>#REF!</v>
      </c>
      <c r="H91" t="e">
        <f>#REF!</f>
        <v>#REF!</v>
      </c>
      <c r="I91" t="e">
        <f>#REF!*#REF!</f>
        <v>#REF!</v>
      </c>
      <c r="J91" t="e">
        <f>#REF!</f>
        <v>#REF!</v>
      </c>
      <c r="K91" t="e">
        <f>#REF!</f>
        <v>#REF!</v>
      </c>
      <c r="L91" t="e">
        <f>#REF!</f>
        <v>#REF!</v>
      </c>
      <c r="M91" t="e">
        <f>ROUND(ROUND(L91*#REF!, 6)*1, 2)</f>
        <v>#REF!</v>
      </c>
      <c r="N91" t="e">
        <f>#REF!</f>
        <v>#REF!</v>
      </c>
      <c r="O91" t="e">
        <f>ROUND(ROUND(L91*#REF!, 6)*#REF!, 2)</f>
        <v>#REF!</v>
      </c>
      <c r="P91" t="e">
        <f>#REF!</f>
        <v>#REF!</v>
      </c>
      <c r="Q91" t="e">
        <f>#REF!</f>
        <v>#REF!</v>
      </c>
      <c r="R91" t="e">
        <f>ROUND(ROUND(Q91*#REF!, 6)*1, 2)</f>
        <v>#REF!</v>
      </c>
      <c r="S91" t="e">
        <f>#REF!</f>
        <v>#REF!</v>
      </c>
      <c r="T91" t="e">
        <f>ROUND(ROUND(Q91*#REF!, 6)*#REF!, 2)</f>
        <v>#REF!</v>
      </c>
      <c r="U91">
        <v>3</v>
      </c>
      <c r="Z91" t="e">
        <f>#REF!</f>
        <v>#REF!</v>
      </c>
      <c r="AA91">
        <v>1989419068</v>
      </c>
      <c r="AB91">
        <v>1989419068</v>
      </c>
    </row>
    <row r="92" spans="1:28" x14ac:dyDescent="0.25">
      <c r="A92">
        <v>20</v>
      </c>
      <c r="B92">
        <v>218</v>
      </c>
      <c r="C92">
        <v>3</v>
      </c>
      <c r="D92">
        <v>0</v>
      </c>
      <c r="E92" t="e">
        <f>#REF!</f>
        <v>#REF!</v>
      </c>
      <c r="F92" t="e">
        <f>#REF!</f>
        <v>#REF!</v>
      </c>
      <c r="G92" t="e">
        <f>#REF!</f>
        <v>#REF!</v>
      </c>
      <c r="H92" t="e">
        <f>#REF!</f>
        <v>#REF!</v>
      </c>
      <c r="I92" t="e">
        <f>#REF!*#REF!</f>
        <v>#REF!</v>
      </c>
      <c r="J92" t="e">
        <f>#REF!</f>
        <v>#REF!</v>
      </c>
      <c r="K92" t="e">
        <f>#REF!</f>
        <v>#REF!</v>
      </c>
      <c r="L92" t="e">
        <f>#REF!</f>
        <v>#REF!</v>
      </c>
      <c r="M92" t="e">
        <f>ROUND(ROUND(L92*#REF!, 6)*1, 2)</f>
        <v>#REF!</v>
      </c>
      <c r="N92" t="e">
        <f>#REF!</f>
        <v>#REF!</v>
      </c>
      <c r="O92" t="e">
        <f>ROUND(ROUND(L92*#REF!, 6)*#REF!, 2)</f>
        <v>#REF!</v>
      </c>
      <c r="P92" t="e">
        <f>#REF!</f>
        <v>#REF!</v>
      </c>
      <c r="Q92" t="e">
        <f>#REF!</f>
        <v>#REF!</v>
      </c>
      <c r="R92" t="e">
        <f>ROUND(ROUND(Q92*#REF!, 6)*1, 2)</f>
        <v>#REF!</v>
      </c>
      <c r="S92" t="e">
        <f>#REF!</f>
        <v>#REF!</v>
      </c>
      <c r="T92" t="e">
        <f>ROUND(ROUND(Q92*#REF!, 6)*#REF!, 2)</f>
        <v>#REF!</v>
      </c>
      <c r="U92">
        <v>3</v>
      </c>
      <c r="Z92" t="e">
        <f>#REF!</f>
        <v>#REF!</v>
      </c>
      <c r="AA92">
        <v>-1111917834</v>
      </c>
      <c r="AB92">
        <v>-1111917834</v>
      </c>
    </row>
    <row r="93" spans="1:28" x14ac:dyDescent="0.25">
      <c r="A93">
        <v>20</v>
      </c>
      <c r="B93">
        <v>217</v>
      </c>
      <c r="C93">
        <v>3</v>
      </c>
      <c r="D93">
        <v>0</v>
      </c>
      <c r="E93" t="e">
        <f>#REF!</f>
        <v>#REF!</v>
      </c>
      <c r="F93" t="e">
        <f>#REF!</f>
        <v>#REF!</v>
      </c>
      <c r="G93" t="e">
        <f>#REF!</f>
        <v>#REF!</v>
      </c>
      <c r="H93" t="e">
        <f>#REF!</f>
        <v>#REF!</v>
      </c>
      <c r="I93" t="e">
        <f>#REF!*#REF!</f>
        <v>#REF!</v>
      </c>
      <c r="J93" t="e">
        <f>#REF!</f>
        <v>#REF!</v>
      </c>
      <c r="K93" t="e">
        <f>#REF!</f>
        <v>#REF!</v>
      </c>
      <c r="L93" t="e">
        <f>#REF!</f>
        <v>#REF!</v>
      </c>
      <c r="M93" t="e">
        <f>ROUND(ROUND(L93*#REF!, 6)*1, 2)</f>
        <v>#REF!</v>
      </c>
      <c r="N93" t="e">
        <f>#REF!</f>
        <v>#REF!</v>
      </c>
      <c r="O93" t="e">
        <f>ROUND(ROUND(L93*#REF!, 6)*#REF!, 2)</f>
        <v>#REF!</v>
      </c>
      <c r="P93" t="e">
        <f>#REF!</f>
        <v>#REF!</v>
      </c>
      <c r="Q93" t="e">
        <f>#REF!</f>
        <v>#REF!</v>
      </c>
      <c r="R93" t="e">
        <f>ROUND(ROUND(Q93*#REF!, 6)*1, 2)</f>
        <v>#REF!</v>
      </c>
      <c r="S93" t="e">
        <f>#REF!</f>
        <v>#REF!</v>
      </c>
      <c r="T93" t="e">
        <f>ROUND(ROUND(Q93*#REF!, 6)*#REF!, 2)</f>
        <v>#REF!</v>
      </c>
      <c r="U93">
        <v>3</v>
      </c>
      <c r="Z93" t="e">
        <f>#REF!</f>
        <v>#REF!</v>
      </c>
      <c r="AA93">
        <v>-1847762729</v>
      </c>
      <c r="AB93">
        <v>-1847762729</v>
      </c>
    </row>
    <row r="94" spans="1:28" x14ac:dyDescent="0.25">
      <c r="A94">
        <v>20</v>
      </c>
      <c r="B94">
        <v>216</v>
      </c>
      <c r="C94">
        <v>3</v>
      </c>
      <c r="D94">
        <v>0</v>
      </c>
      <c r="E94" t="e">
        <f>#REF!</f>
        <v>#REF!</v>
      </c>
      <c r="F94" t="e">
        <f>#REF!</f>
        <v>#REF!</v>
      </c>
      <c r="G94" t="e">
        <f>#REF!</f>
        <v>#REF!</v>
      </c>
      <c r="H94" t="e">
        <f>#REF!</f>
        <v>#REF!</v>
      </c>
      <c r="I94" t="e">
        <f>#REF!*#REF!</f>
        <v>#REF!</v>
      </c>
      <c r="J94" t="e">
        <f>#REF!</f>
        <v>#REF!</v>
      </c>
      <c r="K94" t="e">
        <f>#REF!</f>
        <v>#REF!</v>
      </c>
      <c r="L94" t="e">
        <f>#REF!</f>
        <v>#REF!</v>
      </c>
      <c r="M94" t="e">
        <f>ROUND(ROUND(L94*#REF!, 6)*1, 2)</f>
        <v>#REF!</v>
      </c>
      <c r="N94" t="e">
        <f>#REF!</f>
        <v>#REF!</v>
      </c>
      <c r="O94" t="e">
        <f>ROUND(ROUND(L94*#REF!, 6)*#REF!, 2)</f>
        <v>#REF!</v>
      </c>
      <c r="P94" t="e">
        <f>#REF!</f>
        <v>#REF!</v>
      </c>
      <c r="Q94" t="e">
        <f>#REF!</f>
        <v>#REF!</v>
      </c>
      <c r="R94" t="e">
        <f>ROUND(ROUND(Q94*#REF!, 6)*1, 2)</f>
        <v>#REF!</v>
      </c>
      <c r="S94" t="e">
        <f>#REF!</f>
        <v>#REF!</v>
      </c>
      <c r="T94" t="e">
        <f>ROUND(ROUND(Q94*#REF!, 6)*#REF!, 2)</f>
        <v>#REF!</v>
      </c>
      <c r="U94">
        <v>3</v>
      </c>
      <c r="Z94" t="e">
        <f>#REF!</f>
        <v>#REF!</v>
      </c>
      <c r="AA94">
        <v>361587463</v>
      </c>
      <c r="AB94">
        <v>361587463</v>
      </c>
    </row>
    <row r="95" spans="1:28" x14ac:dyDescent="0.25">
      <c r="A95">
        <v>20</v>
      </c>
      <c r="B95">
        <v>215</v>
      </c>
      <c r="C95">
        <v>3</v>
      </c>
      <c r="D95">
        <v>0</v>
      </c>
      <c r="E95" t="e">
        <f>#REF!</f>
        <v>#REF!</v>
      </c>
      <c r="F95" t="e">
        <f>#REF!</f>
        <v>#REF!</v>
      </c>
      <c r="G95" t="e">
        <f>#REF!</f>
        <v>#REF!</v>
      </c>
      <c r="H95" t="e">
        <f>#REF!</f>
        <v>#REF!</v>
      </c>
      <c r="I95" t="e">
        <f>#REF!*#REF!</f>
        <v>#REF!</v>
      </c>
      <c r="J95" t="e">
        <f>#REF!</f>
        <v>#REF!</v>
      </c>
      <c r="K95" t="e">
        <f>#REF!</f>
        <v>#REF!</v>
      </c>
      <c r="L95" t="e">
        <f>#REF!</f>
        <v>#REF!</v>
      </c>
      <c r="M95" t="e">
        <f>ROUND(ROUND(L95*#REF!, 6)*1, 2)</f>
        <v>#REF!</v>
      </c>
      <c r="N95" t="e">
        <f>#REF!</f>
        <v>#REF!</v>
      </c>
      <c r="O95" t="e">
        <f>ROUND(ROUND(L95*#REF!, 6)*#REF!, 2)</f>
        <v>#REF!</v>
      </c>
      <c r="P95" t="e">
        <f>#REF!</f>
        <v>#REF!</v>
      </c>
      <c r="Q95" t="e">
        <f>#REF!</f>
        <v>#REF!</v>
      </c>
      <c r="R95" t="e">
        <f>ROUND(ROUND(Q95*#REF!, 6)*1, 2)</f>
        <v>#REF!</v>
      </c>
      <c r="S95" t="e">
        <f>#REF!</f>
        <v>#REF!</v>
      </c>
      <c r="T95" t="e">
        <f>ROUND(ROUND(Q95*#REF!, 6)*#REF!, 2)</f>
        <v>#REF!</v>
      </c>
      <c r="U95">
        <v>3</v>
      </c>
      <c r="Z95" t="e">
        <f>#REF!</f>
        <v>#REF!</v>
      </c>
      <c r="AA95">
        <v>1867615938</v>
      </c>
      <c r="AB95">
        <v>1867615938</v>
      </c>
    </row>
    <row r="96" spans="1:28" x14ac:dyDescent="0.25">
      <c r="A96">
        <v>20</v>
      </c>
      <c r="B96">
        <v>214</v>
      </c>
      <c r="C96">
        <v>3</v>
      </c>
      <c r="D96">
        <v>0</v>
      </c>
      <c r="E96" t="e">
        <f>#REF!</f>
        <v>#REF!</v>
      </c>
      <c r="F96" t="e">
        <f>#REF!</f>
        <v>#REF!</v>
      </c>
      <c r="G96" t="e">
        <f>#REF!</f>
        <v>#REF!</v>
      </c>
      <c r="H96" t="e">
        <f>#REF!</f>
        <v>#REF!</v>
      </c>
      <c r="I96" t="e">
        <f>#REF!*#REF!</f>
        <v>#REF!</v>
      </c>
      <c r="J96" t="e">
        <f>#REF!</f>
        <v>#REF!</v>
      </c>
      <c r="K96" t="e">
        <f>#REF!</f>
        <v>#REF!</v>
      </c>
      <c r="L96" t="e">
        <f>#REF!</f>
        <v>#REF!</v>
      </c>
      <c r="M96" t="e">
        <f>ROUND(ROUND(L96*#REF!, 6)*1, 2)</f>
        <v>#REF!</v>
      </c>
      <c r="N96" t="e">
        <f>#REF!</f>
        <v>#REF!</v>
      </c>
      <c r="O96" t="e">
        <f>ROUND(ROUND(L96*#REF!, 6)*#REF!, 2)</f>
        <v>#REF!</v>
      </c>
      <c r="P96" t="e">
        <f>#REF!</f>
        <v>#REF!</v>
      </c>
      <c r="Q96" t="e">
        <f>#REF!</f>
        <v>#REF!</v>
      </c>
      <c r="R96" t="e">
        <f>ROUND(ROUND(Q96*#REF!, 6)*1, 2)</f>
        <v>#REF!</v>
      </c>
      <c r="S96" t="e">
        <f>#REF!</f>
        <v>#REF!</v>
      </c>
      <c r="T96" t="e">
        <f>ROUND(ROUND(Q96*#REF!, 6)*#REF!, 2)</f>
        <v>#REF!</v>
      </c>
      <c r="U96">
        <v>3</v>
      </c>
      <c r="Z96" t="e">
        <f>#REF!</f>
        <v>#REF!</v>
      </c>
      <c r="AA96">
        <v>885337493</v>
      </c>
      <c r="AB96">
        <v>885337493</v>
      </c>
    </row>
    <row r="97" spans="1:28" x14ac:dyDescent="0.25">
      <c r="A97">
        <v>20</v>
      </c>
      <c r="B97">
        <v>213</v>
      </c>
      <c r="C97">
        <v>3</v>
      </c>
      <c r="D97">
        <v>0</v>
      </c>
      <c r="E97" t="e">
        <f>#REF!</f>
        <v>#REF!</v>
      </c>
      <c r="F97" t="e">
        <f>#REF!</f>
        <v>#REF!</v>
      </c>
      <c r="G97" t="e">
        <f>#REF!</f>
        <v>#REF!</v>
      </c>
      <c r="H97" t="e">
        <f>#REF!</f>
        <v>#REF!</v>
      </c>
      <c r="I97" t="e">
        <f>#REF!*#REF!</f>
        <v>#REF!</v>
      </c>
      <c r="J97" t="e">
        <f>#REF!</f>
        <v>#REF!</v>
      </c>
      <c r="K97" t="e">
        <f>#REF!</f>
        <v>#REF!</v>
      </c>
      <c r="L97" t="e">
        <f>#REF!</f>
        <v>#REF!</v>
      </c>
      <c r="M97" t="e">
        <f>ROUND(ROUND(L97*#REF!, 6)*1, 2)</f>
        <v>#REF!</v>
      </c>
      <c r="N97" t="e">
        <f>#REF!</f>
        <v>#REF!</v>
      </c>
      <c r="O97" t="e">
        <f>ROUND(ROUND(L97*#REF!, 6)*#REF!, 2)</f>
        <v>#REF!</v>
      </c>
      <c r="P97" t="e">
        <f>#REF!</f>
        <v>#REF!</v>
      </c>
      <c r="Q97" t="e">
        <f>#REF!</f>
        <v>#REF!</v>
      </c>
      <c r="R97" t="e">
        <f>ROUND(ROUND(Q97*#REF!, 6)*1, 2)</f>
        <v>#REF!</v>
      </c>
      <c r="S97" t="e">
        <f>#REF!</f>
        <v>#REF!</v>
      </c>
      <c r="T97" t="e">
        <f>ROUND(ROUND(Q97*#REF!, 6)*#REF!, 2)</f>
        <v>#REF!</v>
      </c>
      <c r="U97">
        <v>3</v>
      </c>
      <c r="Z97" t="e">
        <f>#REF!</f>
        <v>#REF!</v>
      </c>
      <c r="AA97">
        <v>-1852674835</v>
      </c>
      <c r="AB97">
        <v>-1852674835</v>
      </c>
    </row>
    <row r="98" spans="1:28" x14ac:dyDescent="0.25">
      <c r="A98">
        <v>20</v>
      </c>
      <c r="B98">
        <v>212</v>
      </c>
      <c r="C98">
        <v>3</v>
      </c>
      <c r="D98">
        <v>0</v>
      </c>
      <c r="E98" t="e">
        <f>#REF!</f>
        <v>#REF!</v>
      </c>
      <c r="F98" t="e">
        <f>#REF!</f>
        <v>#REF!</v>
      </c>
      <c r="G98" t="e">
        <f>#REF!</f>
        <v>#REF!</v>
      </c>
      <c r="H98" t="e">
        <f>#REF!</f>
        <v>#REF!</v>
      </c>
      <c r="I98" t="e">
        <f>#REF!*#REF!</f>
        <v>#REF!</v>
      </c>
      <c r="J98" t="e">
        <f>#REF!</f>
        <v>#REF!</v>
      </c>
      <c r="K98" t="e">
        <f>#REF!</f>
        <v>#REF!</v>
      </c>
      <c r="L98" t="e">
        <f>#REF!</f>
        <v>#REF!</v>
      </c>
      <c r="M98" t="e">
        <f>ROUND(ROUND(L98*#REF!, 6)*1, 2)</f>
        <v>#REF!</v>
      </c>
      <c r="N98" t="e">
        <f>#REF!</f>
        <v>#REF!</v>
      </c>
      <c r="O98" t="e">
        <f>ROUND(ROUND(L98*#REF!, 6)*#REF!, 2)</f>
        <v>#REF!</v>
      </c>
      <c r="P98" t="e">
        <f>#REF!</f>
        <v>#REF!</v>
      </c>
      <c r="Q98" t="e">
        <f>#REF!</f>
        <v>#REF!</v>
      </c>
      <c r="R98" t="e">
        <f>ROUND(ROUND(Q98*#REF!, 6)*1, 2)</f>
        <v>#REF!</v>
      </c>
      <c r="S98" t="e">
        <f>#REF!</f>
        <v>#REF!</v>
      </c>
      <c r="T98" t="e">
        <f>ROUND(ROUND(Q98*#REF!, 6)*#REF!, 2)</f>
        <v>#REF!</v>
      </c>
      <c r="U98">
        <v>3</v>
      </c>
      <c r="Z98" t="e">
        <f>#REF!</f>
        <v>#REF!</v>
      </c>
      <c r="AA98">
        <v>-1213123407</v>
      </c>
      <c r="AB98">
        <v>-1213123407</v>
      </c>
    </row>
    <row r="99" spans="1:28" x14ac:dyDescent="0.25">
      <c r="A99" t="e">
        <f>#REF!</f>
        <v>#REF!</v>
      </c>
      <c r="B99">
        <v>212</v>
      </c>
      <c r="C99">
        <v>3</v>
      </c>
      <c r="D99" t="e">
        <f>#REF!</f>
        <v>#REF!</v>
      </c>
      <c r="E99" t="e">
        <f>#REF!</f>
        <v>#REF!</v>
      </c>
      <c r="F99" t="e">
        <f>#REF!</f>
        <v>#REF!</v>
      </c>
      <c r="G99" t="e">
        <f>#REF!</f>
        <v>#REF!</v>
      </c>
      <c r="H99" t="e">
        <f>#REF!</f>
        <v>#REF!</v>
      </c>
      <c r="I99" t="e">
        <f>#REF!</f>
        <v>#REF!</v>
      </c>
      <c r="J99">
        <v>1</v>
      </c>
      <c r="K99" t="e">
        <f>#REF!</f>
        <v>#REF!</v>
      </c>
      <c r="M99" t="e">
        <f>ROUND(K99*I99, 2)</f>
        <v>#REF!</v>
      </c>
      <c r="N99" t="e">
        <f>#REF!*IF(#REF!&lt;&gt; 0,#REF!, 1)</f>
        <v>#REF!</v>
      </c>
      <c r="O99" t="e">
        <f>ROUND(N99*I99, 2)</f>
        <v>#REF!</v>
      </c>
      <c r="P99" t="e">
        <f>#REF!</f>
        <v>#REF!</v>
      </c>
      <c r="R99" t="e">
        <f>ROUND(P99*I99, 2)</f>
        <v>#REF!</v>
      </c>
      <c r="S99" t="e">
        <f>#REF!*IF(#REF!&lt;&gt; 0,#REF!, 1)</f>
        <v>#REF!</v>
      </c>
      <c r="T99" t="e">
        <f>ROUND(S99*I99, 2)</f>
        <v>#REF!</v>
      </c>
      <c r="U99">
        <v>3</v>
      </c>
      <c r="Z99" t="e">
        <f>#REF!</f>
        <v>#REF!</v>
      </c>
      <c r="AA99">
        <v>1869087692</v>
      </c>
      <c r="AB99">
        <v>1869087692</v>
      </c>
    </row>
    <row r="100" spans="1:28" x14ac:dyDescent="0.25">
      <c r="A100" t="e">
        <f>#REF!</f>
        <v>#REF!</v>
      </c>
      <c r="B100">
        <v>213</v>
      </c>
      <c r="C100">
        <v>3</v>
      </c>
      <c r="D100" t="e">
        <f>#REF!</f>
        <v>#REF!</v>
      </c>
      <c r="E100" t="e">
        <f>#REF!</f>
        <v>#REF!</v>
      </c>
      <c r="F100" t="e">
        <f>#REF!</f>
        <v>#REF!</v>
      </c>
      <c r="G100" t="e">
        <f>#REF!</f>
        <v>#REF!</v>
      </c>
      <c r="H100" t="e">
        <f>#REF!</f>
        <v>#REF!</v>
      </c>
      <c r="I100" t="e">
        <f>#REF!</f>
        <v>#REF!</v>
      </c>
      <c r="J100">
        <v>1</v>
      </c>
      <c r="K100" t="e">
        <f>#REF!</f>
        <v>#REF!</v>
      </c>
      <c r="M100" t="e">
        <f>ROUND(K100*I100, 2)</f>
        <v>#REF!</v>
      </c>
      <c r="N100" t="e">
        <f>#REF!*IF(#REF!&lt;&gt; 0,#REF!, 1)</f>
        <v>#REF!</v>
      </c>
      <c r="O100" t="e">
        <f>ROUND(N100*I100, 2)</f>
        <v>#REF!</v>
      </c>
      <c r="P100" t="e">
        <f>#REF!</f>
        <v>#REF!</v>
      </c>
      <c r="R100" t="e">
        <f>ROUND(P100*I100, 2)</f>
        <v>#REF!</v>
      </c>
      <c r="S100" t="e">
        <f>#REF!*IF(#REF!&lt;&gt; 0,#REF!, 1)</f>
        <v>#REF!</v>
      </c>
      <c r="T100" t="e">
        <f>ROUND(S100*I100, 2)</f>
        <v>#REF!</v>
      </c>
      <c r="U100">
        <v>3</v>
      </c>
      <c r="Z100" t="e">
        <f>#REF!</f>
        <v>#REF!</v>
      </c>
      <c r="AA100">
        <v>-1719228332</v>
      </c>
      <c r="AB100">
        <v>-1719228332</v>
      </c>
    </row>
    <row r="101" spans="1:28" x14ac:dyDescent="0.25">
      <c r="A101">
        <v>20</v>
      </c>
      <c r="B101">
        <v>238</v>
      </c>
      <c r="C101">
        <v>3</v>
      </c>
      <c r="D101">
        <v>0</v>
      </c>
      <c r="E101" t="e">
        <f>#REF!</f>
        <v>#REF!</v>
      </c>
      <c r="F101" t="e">
        <f>#REF!</f>
        <v>#REF!</v>
      </c>
      <c r="G101" t="e">
        <f>#REF!</f>
        <v>#REF!</v>
      </c>
      <c r="H101" t="e">
        <f>#REF!</f>
        <v>#REF!</v>
      </c>
      <c r="I101" t="e">
        <f>#REF!*#REF!</f>
        <v>#REF!</v>
      </c>
      <c r="J101" t="e">
        <f>#REF!</f>
        <v>#REF!</v>
      </c>
      <c r="K101" t="e">
        <f>#REF!</f>
        <v>#REF!</v>
      </c>
      <c r="L101" t="e">
        <f>#REF!</f>
        <v>#REF!</v>
      </c>
      <c r="M101" t="e">
        <f>ROUND(ROUND(L101*#REF!, 6)*1, 2)</f>
        <v>#REF!</v>
      </c>
      <c r="N101" t="e">
        <f>#REF!</f>
        <v>#REF!</v>
      </c>
      <c r="O101" t="e">
        <f>ROUND(ROUND(L101*#REF!, 6)*#REF!, 2)</f>
        <v>#REF!</v>
      </c>
      <c r="P101" t="e">
        <f>#REF!</f>
        <v>#REF!</v>
      </c>
      <c r="Q101" t="e">
        <f>#REF!</f>
        <v>#REF!</v>
      </c>
      <c r="R101" t="e">
        <f>ROUND(ROUND(Q101*#REF!, 6)*1, 2)</f>
        <v>#REF!</v>
      </c>
      <c r="S101" t="e">
        <f>#REF!</f>
        <v>#REF!</v>
      </c>
      <c r="T101" t="e">
        <f>ROUND(ROUND(Q101*#REF!, 6)*#REF!, 2)</f>
        <v>#REF!</v>
      </c>
      <c r="U101">
        <v>3</v>
      </c>
      <c r="Z101" t="e">
        <f>#REF!</f>
        <v>#REF!</v>
      </c>
      <c r="AA101">
        <v>657869633</v>
      </c>
      <c r="AB101">
        <v>657869633</v>
      </c>
    </row>
    <row r="102" spans="1:28" x14ac:dyDescent="0.25">
      <c r="A102">
        <v>20</v>
      </c>
      <c r="B102">
        <v>237</v>
      </c>
      <c r="C102">
        <v>3</v>
      </c>
      <c r="D102">
        <v>0</v>
      </c>
      <c r="E102" t="e">
        <f>#REF!</f>
        <v>#REF!</v>
      </c>
      <c r="F102" t="e">
        <f>#REF!</f>
        <v>#REF!</v>
      </c>
      <c r="G102" t="e">
        <f>#REF!</f>
        <v>#REF!</v>
      </c>
      <c r="H102" t="e">
        <f>#REF!</f>
        <v>#REF!</v>
      </c>
      <c r="I102" t="e">
        <f>#REF!*#REF!</f>
        <v>#REF!</v>
      </c>
      <c r="J102" t="e">
        <f>#REF!</f>
        <v>#REF!</v>
      </c>
      <c r="K102" t="e">
        <f>#REF!</f>
        <v>#REF!</v>
      </c>
      <c r="L102" t="e">
        <f>#REF!</f>
        <v>#REF!</v>
      </c>
      <c r="M102" t="e">
        <f>ROUND(ROUND(L102*#REF!, 6)*1, 2)</f>
        <v>#REF!</v>
      </c>
      <c r="N102" t="e">
        <f>#REF!</f>
        <v>#REF!</v>
      </c>
      <c r="O102" t="e">
        <f>ROUND(ROUND(L102*#REF!, 6)*#REF!, 2)</f>
        <v>#REF!</v>
      </c>
      <c r="P102" t="e">
        <f>#REF!</f>
        <v>#REF!</v>
      </c>
      <c r="Q102" t="e">
        <f>#REF!</f>
        <v>#REF!</v>
      </c>
      <c r="R102" t="e">
        <f>ROUND(ROUND(Q102*#REF!, 6)*1, 2)</f>
        <v>#REF!</v>
      </c>
      <c r="S102" t="e">
        <f>#REF!</f>
        <v>#REF!</v>
      </c>
      <c r="T102" t="e">
        <f>ROUND(ROUND(Q102*#REF!, 6)*#REF!, 2)</f>
        <v>#REF!</v>
      </c>
      <c r="U102">
        <v>3</v>
      </c>
      <c r="Z102" t="e">
        <f>#REF!</f>
        <v>#REF!</v>
      </c>
      <c r="AA102">
        <v>-1980424407</v>
      </c>
      <c r="AB102">
        <v>-1980424407</v>
      </c>
    </row>
    <row r="103" spans="1:28" x14ac:dyDescent="0.25">
      <c r="A103">
        <v>20</v>
      </c>
      <c r="B103">
        <v>236</v>
      </c>
      <c r="C103">
        <v>3</v>
      </c>
      <c r="D103">
        <v>0</v>
      </c>
      <c r="E103" t="e">
        <f>#REF!</f>
        <v>#REF!</v>
      </c>
      <c r="F103" t="e">
        <f>#REF!</f>
        <v>#REF!</v>
      </c>
      <c r="G103" t="e">
        <f>#REF!</f>
        <v>#REF!</v>
      </c>
      <c r="H103" t="e">
        <f>#REF!</f>
        <v>#REF!</v>
      </c>
      <c r="I103" t="e">
        <f>#REF!*#REF!</f>
        <v>#REF!</v>
      </c>
      <c r="J103" t="e">
        <f>#REF!</f>
        <v>#REF!</v>
      </c>
      <c r="K103" t="e">
        <f>#REF!</f>
        <v>#REF!</v>
      </c>
      <c r="L103" t="e">
        <f>#REF!</f>
        <v>#REF!</v>
      </c>
      <c r="M103" t="e">
        <f>ROUND(ROUND(L103*#REF!, 6)*1, 2)</f>
        <v>#REF!</v>
      </c>
      <c r="N103" t="e">
        <f>#REF!</f>
        <v>#REF!</v>
      </c>
      <c r="O103" t="e">
        <f>ROUND(ROUND(L103*#REF!, 6)*#REF!, 2)</f>
        <v>#REF!</v>
      </c>
      <c r="P103" t="e">
        <f>#REF!</f>
        <v>#REF!</v>
      </c>
      <c r="Q103" t="e">
        <f>#REF!</f>
        <v>#REF!</v>
      </c>
      <c r="R103" t="e">
        <f>ROUND(ROUND(Q103*#REF!, 6)*1, 2)</f>
        <v>#REF!</v>
      </c>
      <c r="S103" t="e">
        <f>#REF!</f>
        <v>#REF!</v>
      </c>
      <c r="T103" t="e">
        <f>ROUND(ROUND(Q103*#REF!, 6)*#REF!, 2)</f>
        <v>#REF!</v>
      </c>
      <c r="U103">
        <v>3</v>
      </c>
      <c r="Z103" t="e">
        <f>#REF!</f>
        <v>#REF!</v>
      </c>
      <c r="AA103">
        <v>1203958368</v>
      </c>
      <c r="AB103">
        <v>1203958368</v>
      </c>
    </row>
    <row r="104" spans="1:28" x14ac:dyDescent="0.25">
      <c r="A104">
        <v>20</v>
      </c>
      <c r="B104">
        <v>235</v>
      </c>
      <c r="C104">
        <v>3</v>
      </c>
      <c r="D104">
        <v>0</v>
      </c>
      <c r="E104" t="e">
        <f>#REF!</f>
        <v>#REF!</v>
      </c>
      <c r="F104" t="e">
        <f>#REF!</f>
        <v>#REF!</v>
      </c>
      <c r="G104" t="e">
        <f>#REF!</f>
        <v>#REF!</v>
      </c>
      <c r="H104" t="e">
        <f>#REF!</f>
        <v>#REF!</v>
      </c>
      <c r="I104" t="e">
        <f>#REF!*#REF!</f>
        <v>#REF!</v>
      </c>
      <c r="J104" t="e">
        <f>#REF!</f>
        <v>#REF!</v>
      </c>
      <c r="K104" t="e">
        <f>#REF!</f>
        <v>#REF!</v>
      </c>
      <c r="L104" t="e">
        <f>#REF!</f>
        <v>#REF!</v>
      </c>
      <c r="M104" t="e">
        <f>ROUND(ROUND(L104*#REF!, 6)*1, 2)</f>
        <v>#REF!</v>
      </c>
      <c r="N104" t="e">
        <f>#REF!</f>
        <v>#REF!</v>
      </c>
      <c r="O104" t="e">
        <f>ROUND(ROUND(L104*#REF!, 6)*#REF!, 2)</f>
        <v>#REF!</v>
      </c>
      <c r="P104" t="e">
        <f>#REF!</f>
        <v>#REF!</v>
      </c>
      <c r="Q104" t="e">
        <f>#REF!</f>
        <v>#REF!</v>
      </c>
      <c r="R104" t="e">
        <f>ROUND(ROUND(Q104*#REF!, 6)*1, 2)</f>
        <v>#REF!</v>
      </c>
      <c r="S104" t="e">
        <f>#REF!</f>
        <v>#REF!</v>
      </c>
      <c r="T104" t="e">
        <f>ROUND(ROUND(Q104*#REF!, 6)*#REF!, 2)</f>
        <v>#REF!</v>
      </c>
      <c r="U104">
        <v>3</v>
      </c>
      <c r="Z104" t="e">
        <f>#REF!</f>
        <v>#REF!</v>
      </c>
      <c r="AA104">
        <v>829684276</v>
      </c>
      <c r="AB104">
        <v>829684276</v>
      </c>
    </row>
    <row r="105" spans="1:28" x14ac:dyDescent="0.25">
      <c r="A105">
        <v>20</v>
      </c>
      <c r="B105">
        <v>234</v>
      </c>
      <c r="C105">
        <v>3</v>
      </c>
      <c r="D105">
        <v>0</v>
      </c>
      <c r="E105" t="e">
        <f>#REF!</f>
        <v>#REF!</v>
      </c>
      <c r="F105" t="e">
        <f>#REF!</f>
        <v>#REF!</v>
      </c>
      <c r="G105" t="e">
        <f>#REF!</f>
        <v>#REF!</v>
      </c>
      <c r="H105" t="e">
        <f>#REF!</f>
        <v>#REF!</v>
      </c>
      <c r="I105" t="e">
        <f>#REF!*#REF!</f>
        <v>#REF!</v>
      </c>
      <c r="J105" t="e">
        <f>#REF!</f>
        <v>#REF!</v>
      </c>
      <c r="K105" t="e">
        <f>#REF!</f>
        <v>#REF!</v>
      </c>
      <c r="L105" t="e">
        <f>#REF!</f>
        <v>#REF!</v>
      </c>
      <c r="M105" t="e">
        <f>ROUND(ROUND(L105*#REF!, 6)*1, 2)</f>
        <v>#REF!</v>
      </c>
      <c r="N105" t="e">
        <f>#REF!</f>
        <v>#REF!</v>
      </c>
      <c r="O105" t="e">
        <f>ROUND(ROUND(L105*#REF!, 6)*#REF!, 2)</f>
        <v>#REF!</v>
      </c>
      <c r="P105" t="e">
        <f>#REF!</f>
        <v>#REF!</v>
      </c>
      <c r="Q105" t="e">
        <f>#REF!</f>
        <v>#REF!</v>
      </c>
      <c r="R105" t="e">
        <f>ROUND(ROUND(Q105*#REF!, 6)*1, 2)</f>
        <v>#REF!</v>
      </c>
      <c r="S105" t="e">
        <f>#REF!</f>
        <v>#REF!</v>
      </c>
      <c r="T105" t="e">
        <f>ROUND(ROUND(Q105*#REF!, 6)*#REF!, 2)</f>
        <v>#REF!</v>
      </c>
      <c r="U105">
        <v>3</v>
      </c>
      <c r="Z105" t="e">
        <f>#REF!</f>
        <v>#REF!</v>
      </c>
      <c r="AA105">
        <v>1204360543</v>
      </c>
      <c r="AB105">
        <v>1204360543</v>
      </c>
    </row>
    <row r="106" spans="1:28" x14ac:dyDescent="0.25">
      <c r="A106">
        <v>20</v>
      </c>
      <c r="B106">
        <v>253</v>
      </c>
      <c r="C106">
        <v>3</v>
      </c>
      <c r="D106">
        <v>0</v>
      </c>
      <c r="E106" t="e">
        <f>#REF!</f>
        <v>#REF!</v>
      </c>
      <c r="F106" t="e">
        <f>#REF!</f>
        <v>#REF!</v>
      </c>
      <c r="G106" t="e">
        <f>#REF!</f>
        <v>#REF!</v>
      </c>
      <c r="H106" t="e">
        <f>#REF!</f>
        <v>#REF!</v>
      </c>
      <c r="I106" t="e">
        <f>#REF!*#REF!</f>
        <v>#REF!</v>
      </c>
      <c r="J106" t="e">
        <f>#REF!</f>
        <v>#REF!</v>
      </c>
      <c r="K106" t="e">
        <f>#REF!</f>
        <v>#REF!</v>
      </c>
      <c r="L106" t="e">
        <f>#REF!</f>
        <v>#REF!</v>
      </c>
      <c r="M106" t="e">
        <f>ROUND(ROUND(L106*#REF!, 6)*1, 2)</f>
        <v>#REF!</v>
      </c>
      <c r="N106" t="e">
        <f>#REF!</f>
        <v>#REF!</v>
      </c>
      <c r="O106" t="e">
        <f>ROUND(ROUND(L106*#REF!, 6)*#REF!, 2)</f>
        <v>#REF!</v>
      </c>
      <c r="P106" t="e">
        <f>#REF!</f>
        <v>#REF!</v>
      </c>
      <c r="Q106" t="e">
        <f>#REF!</f>
        <v>#REF!</v>
      </c>
      <c r="R106" t="e">
        <f>ROUND(ROUND(Q106*#REF!, 6)*1, 2)</f>
        <v>#REF!</v>
      </c>
      <c r="S106" t="e">
        <f>#REF!</f>
        <v>#REF!</v>
      </c>
      <c r="T106" t="e">
        <f>ROUND(ROUND(Q106*#REF!, 6)*#REF!, 2)</f>
        <v>#REF!</v>
      </c>
      <c r="U106">
        <v>3</v>
      </c>
      <c r="Z106" t="e">
        <f>#REF!</f>
        <v>#REF!</v>
      </c>
      <c r="AA106">
        <v>567773499</v>
      </c>
      <c r="AB106">
        <v>567773499</v>
      </c>
    </row>
    <row r="107" spans="1:28" x14ac:dyDescent="0.25">
      <c r="A107">
        <v>20</v>
      </c>
      <c r="B107">
        <v>252</v>
      </c>
      <c r="C107">
        <v>3</v>
      </c>
      <c r="D107">
        <v>0</v>
      </c>
      <c r="E107" t="e">
        <f>#REF!</f>
        <v>#REF!</v>
      </c>
      <c r="F107" t="e">
        <f>#REF!</f>
        <v>#REF!</v>
      </c>
      <c r="G107" t="e">
        <f>#REF!</f>
        <v>#REF!</v>
      </c>
      <c r="H107" t="e">
        <f>#REF!</f>
        <v>#REF!</v>
      </c>
      <c r="I107" t="e">
        <f>#REF!*#REF!</f>
        <v>#REF!</v>
      </c>
      <c r="J107" t="e">
        <f>#REF!</f>
        <v>#REF!</v>
      </c>
      <c r="K107" t="e">
        <f>#REF!</f>
        <v>#REF!</v>
      </c>
      <c r="L107" t="e">
        <f>#REF!</f>
        <v>#REF!</v>
      </c>
      <c r="M107" t="e">
        <f>ROUND(ROUND(L107*#REF!, 6)*1, 2)</f>
        <v>#REF!</v>
      </c>
      <c r="N107" t="e">
        <f>#REF!</f>
        <v>#REF!</v>
      </c>
      <c r="O107" t="e">
        <f>ROUND(ROUND(L107*#REF!, 6)*#REF!, 2)</f>
        <v>#REF!</v>
      </c>
      <c r="P107" t="e">
        <f>#REF!</f>
        <v>#REF!</v>
      </c>
      <c r="Q107" t="e">
        <f>#REF!</f>
        <v>#REF!</v>
      </c>
      <c r="R107" t="e">
        <f>ROUND(ROUND(Q107*#REF!, 6)*1, 2)</f>
        <v>#REF!</v>
      </c>
      <c r="S107" t="e">
        <f>#REF!</f>
        <v>#REF!</v>
      </c>
      <c r="T107" t="e">
        <f>ROUND(ROUND(Q107*#REF!, 6)*#REF!, 2)</f>
        <v>#REF!</v>
      </c>
      <c r="U107">
        <v>3</v>
      </c>
      <c r="Z107" t="e">
        <f>#REF!</f>
        <v>#REF!</v>
      </c>
      <c r="AA107">
        <v>657869633</v>
      </c>
      <c r="AB107">
        <v>657869633</v>
      </c>
    </row>
    <row r="108" spans="1:28" x14ac:dyDescent="0.25">
      <c r="A108">
        <v>20</v>
      </c>
      <c r="B108">
        <v>251</v>
      </c>
      <c r="C108">
        <v>3</v>
      </c>
      <c r="D108">
        <v>0</v>
      </c>
      <c r="E108" t="e">
        <f>#REF!</f>
        <v>#REF!</v>
      </c>
      <c r="F108" t="e">
        <f>#REF!</f>
        <v>#REF!</v>
      </c>
      <c r="G108" t="e">
        <f>#REF!</f>
        <v>#REF!</v>
      </c>
      <c r="H108" t="e">
        <f>#REF!</f>
        <v>#REF!</v>
      </c>
      <c r="I108" t="e">
        <f>#REF!*#REF!</f>
        <v>#REF!</v>
      </c>
      <c r="J108" t="e">
        <f>#REF!</f>
        <v>#REF!</v>
      </c>
      <c r="K108" t="e">
        <f>#REF!</f>
        <v>#REF!</v>
      </c>
      <c r="L108" t="e">
        <f>#REF!</f>
        <v>#REF!</v>
      </c>
      <c r="M108" t="e">
        <f>ROUND(ROUND(L108*#REF!, 6)*1, 2)</f>
        <v>#REF!</v>
      </c>
      <c r="N108" t="e">
        <f>#REF!</f>
        <v>#REF!</v>
      </c>
      <c r="O108" t="e">
        <f>ROUND(ROUND(L108*#REF!, 6)*#REF!, 2)</f>
        <v>#REF!</v>
      </c>
      <c r="P108" t="e">
        <f>#REF!</f>
        <v>#REF!</v>
      </c>
      <c r="Q108" t="e">
        <f>#REF!</f>
        <v>#REF!</v>
      </c>
      <c r="R108" t="e">
        <f>ROUND(ROUND(Q108*#REF!, 6)*1, 2)</f>
        <v>#REF!</v>
      </c>
      <c r="S108" t="e">
        <f>#REF!</f>
        <v>#REF!</v>
      </c>
      <c r="T108" t="e">
        <f>ROUND(ROUND(Q108*#REF!, 6)*#REF!, 2)</f>
        <v>#REF!</v>
      </c>
      <c r="U108">
        <v>3</v>
      </c>
      <c r="Z108" t="e">
        <f>#REF!</f>
        <v>#REF!</v>
      </c>
      <c r="AA108">
        <v>-2024564591</v>
      </c>
      <c r="AB108">
        <v>-2024564591</v>
      </c>
    </row>
    <row r="109" spans="1:28" x14ac:dyDescent="0.25">
      <c r="A109">
        <v>20</v>
      </c>
      <c r="B109">
        <v>250</v>
      </c>
      <c r="C109">
        <v>3</v>
      </c>
      <c r="D109">
        <v>0</v>
      </c>
      <c r="E109" t="e">
        <f>#REF!</f>
        <v>#REF!</v>
      </c>
      <c r="F109" t="e">
        <f>#REF!</f>
        <v>#REF!</v>
      </c>
      <c r="G109" t="e">
        <f>#REF!</f>
        <v>#REF!</v>
      </c>
      <c r="H109" t="e">
        <f>#REF!</f>
        <v>#REF!</v>
      </c>
      <c r="I109" t="e">
        <f>#REF!*#REF!</f>
        <v>#REF!</v>
      </c>
      <c r="J109" t="e">
        <f>#REF!</f>
        <v>#REF!</v>
      </c>
      <c r="K109" t="e">
        <f>#REF!</f>
        <v>#REF!</v>
      </c>
      <c r="L109" t="e">
        <f>#REF!</f>
        <v>#REF!</v>
      </c>
      <c r="M109" t="e">
        <f>ROUND(ROUND(L109*#REF!, 6)*1, 2)</f>
        <v>#REF!</v>
      </c>
      <c r="N109" t="e">
        <f>#REF!</f>
        <v>#REF!</v>
      </c>
      <c r="O109" t="e">
        <f>ROUND(ROUND(L109*#REF!, 6)*#REF!, 2)</f>
        <v>#REF!</v>
      </c>
      <c r="P109" t="e">
        <f>#REF!</f>
        <v>#REF!</v>
      </c>
      <c r="Q109" t="e">
        <f>#REF!</f>
        <v>#REF!</v>
      </c>
      <c r="R109" t="e">
        <f>ROUND(ROUND(Q109*#REF!, 6)*1, 2)</f>
        <v>#REF!</v>
      </c>
      <c r="S109" t="e">
        <f>#REF!</f>
        <v>#REF!</v>
      </c>
      <c r="T109" t="e">
        <f>ROUND(ROUND(Q109*#REF!, 6)*#REF!, 2)</f>
        <v>#REF!</v>
      </c>
      <c r="U109">
        <v>3</v>
      </c>
      <c r="Z109" t="e">
        <f>#REF!</f>
        <v>#REF!</v>
      </c>
      <c r="AA109">
        <v>-624025881</v>
      </c>
      <c r="AB109">
        <v>-624025881</v>
      </c>
    </row>
    <row r="110" spans="1:28" x14ac:dyDescent="0.25">
      <c r="A110">
        <v>20</v>
      </c>
      <c r="B110">
        <v>248</v>
      </c>
      <c r="C110">
        <v>3</v>
      </c>
      <c r="D110">
        <v>0</v>
      </c>
      <c r="E110" t="e">
        <f>#REF!</f>
        <v>#REF!</v>
      </c>
      <c r="F110" t="e">
        <f>#REF!</f>
        <v>#REF!</v>
      </c>
      <c r="G110" t="e">
        <f>#REF!</f>
        <v>#REF!</v>
      </c>
      <c r="H110" t="e">
        <f>#REF!</f>
        <v>#REF!</v>
      </c>
      <c r="I110" t="e">
        <f>#REF!*#REF!</f>
        <v>#REF!</v>
      </c>
      <c r="J110" t="e">
        <f>#REF!</f>
        <v>#REF!</v>
      </c>
      <c r="K110" t="e">
        <f>#REF!</f>
        <v>#REF!</v>
      </c>
      <c r="L110" t="e">
        <f>#REF!</f>
        <v>#REF!</v>
      </c>
      <c r="M110" t="e">
        <f>ROUND(ROUND(L110*#REF!, 6)*1, 2)</f>
        <v>#REF!</v>
      </c>
      <c r="N110" t="e">
        <f>#REF!</f>
        <v>#REF!</v>
      </c>
      <c r="O110" t="e">
        <f>ROUND(ROUND(L110*#REF!, 6)*#REF!, 2)</f>
        <v>#REF!</v>
      </c>
      <c r="P110" t="e">
        <f>#REF!</f>
        <v>#REF!</v>
      </c>
      <c r="Q110" t="e">
        <f>#REF!</f>
        <v>#REF!</v>
      </c>
      <c r="R110" t="e">
        <f>ROUND(ROUND(Q110*#REF!, 6)*1, 2)</f>
        <v>#REF!</v>
      </c>
      <c r="S110" t="e">
        <f>#REF!</f>
        <v>#REF!</v>
      </c>
      <c r="T110" t="e">
        <f>ROUND(ROUND(Q110*#REF!, 6)*#REF!, 2)</f>
        <v>#REF!</v>
      </c>
      <c r="U110">
        <v>3</v>
      </c>
      <c r="Z110" t="e">
        <f>#REF!</f>
        <v>#REF!</v>
      </c>
      <c r="AA110">
        <v>1531022797</v>
      </c>
      <c r="AB110">
        <v>1531022797</v>
      </c>
    </row>
    <row r="111" spans="1:28" x14ac:dyDescent="0.25">
      <c r="A111">
        <v>20</v>
      </c>
      <c r="B111">
        <v>247</v>
      </c>
      <c r="C111">
        <v>3</v>
      </c>
      <c r="D111">
        <v>0</v>
      </c>
      <c r="E111" t="e">
        <f>#REF!</f>
        <v>#REF!</v>
      </c>
      <c r="F111" t="e">
        <f>#REF!</f>
        <v>#REF!</v>
      </c>
      <c r="G111" t="e">
        <f>#REF!</f>
        <v>#REF!</v>
      </c>
      <c r="H111" t="e">
        <f>#REF!</f>
        <v>#REF!</v>
      </c>
      <c r="I111" t="e">
        <f>#REF!*#REF!</f>
        <v>#REF!</v>
      </c>
      <c r="J111" t="e">
        <f>#REF!</f>
        <v>#REF!</v>
      </c>
      <c r="K111" t="e">
        <f>#REF!</f>
        <v>#REF!</v>
      </c>
      <c r="L111" t="e">
        <f>#REF!</f>
        <v>#REF!</v>
      </c>
      <c r="M111" t="e">
        <f>ROUND(ROUND(L111*#REF!, 6)*1, 2)</f>
        <v>#REF!</v>
      </c>
      <c r="N111" t="e">
        <f>#REF!</f>
        <v>#REF!</v>
      </c>
      <c r="O111" t="e">
        <f>ROUND(ROUND(L111*#REF!, 6)*#REF!, 2)</f>
        <v>#REF!</v>
      </c>
      <c r="P111" t="e">
        <f>#REF!</f>
        <v>#REF!</v>
      </c>
      <c r="Q111" t="e">
        <f>#REF!</f>
        <v>#REF!</v>
      </c>
      <c r="R111" t="e">
        <f>ROUND(ROUND(Q111*#REF!, 6)*1, 2)</f>
        <v>#REF!</v>
      </c>
      <c r="S111" t="e">
        <f>#REF!</f>
        <v>#REF!</v>
      </c>
      <c r="T111" t="e">
        <f>ROUND(ROUND(Q111*#REF!, 6)*#REF!, 2)</f>
        <v>#REF!</v>
      </c>
      <c r="U111">
        <v>3</v>
      </c>
      <c r="Z111" t="e">
        <f>#REF!</f>
        <v>#REF!</v>
      </c>
      <c r="AA111">
        <v>1566552438</v>
      </c>
      <c r="AB111">
        <v>1566552438</v>
      </c>
    </row>
    <row r="112" spans="1:28" x14ac:dyDescent="0.25">
      <c r="A112">
        <v>20</v>
      </c>
      <c r="B112">
        <v>246</v>
      </c>
      <c r="C112">
        <v>3</v>
      </c>
      <c r="D112">
        <v>0</v>
      </c>
      <c r="E112" t="e">
        <f>#REF!</f>
        <v>#REF!</v>
      </c>
      <c r="F112" t="e">
        <f>#REF!</f>
        <v>#REF!</v>
      </c>
      <c r="G112" t="e">
        <f>#REF!</f>
        <v>#REF!</v>
      </c>
      <c r="H112" t="e">
        <f>#REF!</f>
        <v>#REF!</v>
      </c>
      <c r="I112" t="e">
        <f>#REF!*#REF!</f>
        <v>#REF!</v>
      </c>
      <c r="J112" t="e">
        <f>#REF!</f>
        <v>#REF!</v>
      </c>
      <c r="K112" t="e">
        <f>#REF!</f>
        <v>#REF!</v>
      </c>
      <c r="L112" t="e">
        <f>#REF!</f>
        <v>#REF!</v>
      </c>
      <c r="M112" t="e">
        <f>ROUND(ROUND(L112*#REF!, 6)*1, 2)</f>
        <v>#REF!</v>
      </c>
      <c r="N112" t="e">
        <f>#REF!</f>
        <v>#REF!</v>
      </c>
      <c r="O112" t="e">
        <f>ROUND(ROUND(L112*#REF!, 6)*#REF!, 2)</f>
        <v>#REF!</v>
      </c>
      <c r="P112" t="e">
        <f>#REF!</f>
        <v>#REF!</v>
      </c>
      <c r="Q112" t="e">
        <f>#REF!</f>
        <v>#REF!</v>
      </c>
      <c r="R112" t="e">
        <f>ROUND(ROUND(Q112*#REF!, 6)*1, 2)</f>
        <v>#REF!</v>
      </c>
      <c r="S112" t="e">
        <f>#REF!</f>
        <v>#REF!</v>
      </c>
      <c r="T112" t="e">
        <f>ROUND(ROUND(Q112*#REF!, 6)*#REF!, 2)</f>
        <v>#REF!</v>
      </c>
      <c r="U112">
        <v>3</v>
      </c>
      <c r="Z112" t="e">
        <f>#REF!</f>
        <v>#REF!</v>
      </c>
      <c r="AA112">
        <v>1203958368</v>
      </c>
      <c r="AB112">
        <v>1203958368</v>
      </c>
    </row>
    <row r="113" spans="1:28" x14ac:dyDescent="0.25">
      <c r="A113">
        <v>20</v>
      </c>
      <c r="B113">
        <v>245</v>
      </c>
      <c r="C113">
        <v>3</v>
      </c>
      <c r="D113">
        <v>0</v>
      </c>
      <c r="E113" t="e">
        <f>#REF!</f>
        <v>#REF!</v>
      </c>
      <c r="F113" t="e">
        <f>#REF!</f>
        <v>#REF!</v>
      </c>
      <c r="G113" t="e">
        <f>#REF!</f>
        <v>#REF!</v>
      </c>
      <c r="H113" t="e">
        <f>#REF!</f>
        <v>#REF!</v>
      </c>
      <c r="I113" t="e">
        <f>#REF!*#REF!</f>
        <v>#REF!</v>
      </c>
      <c r="J113" t="e">
        <f>#REF!</f>
        <v>#REF!</v>
      </c>
      <c r="K113" t="e">
        <f>#REF!</f>
        <v>#REF!</v>
      </c>
      <c r="L113" t="e">
        <f>#REF!</f>
        <v>#REF!</v>
      </c>
      <c r="M113" t="e">
        <f>ROUND(ROUND(L113*#REF!, 6)*1, 2)</f>
        <v>#REF!</v>
      </c>
      <c r="N113" t="e">
        <f>#REF!</f>
        <v>#REF!</v>
      </c>
      <c r="O113" t="e">
        <f>ROUND(ROUND(L113*#REF!, 6)*#REF!, 2)</f>
        <v>#REF!</v>
      </c>
      <c r="P113" t="e">
        <f>#REF!</f>
        <v>#REF!</v>
      </c>
      <c r="Q113" t="e">
        <f>#REF!</f>
        <v>#REF!</v>
      </c>
      <c r="R113" t="e">
        <f>ROUND(ROUND(Q113*#REF!, 6)*1, 2)</f>
        <v>#REF!</v>
      </c>
      <c r="S113" t="e">
        <f>#REF!</f>
        <v>#REF!</v>
      </c>
      <c r="T113" t="e">
        <f>ROUND(ROUND(Q113*#REF!, 6)*#REF!, 2)</f>
        <v>#REF!</v>
      </c>
      <c r="U113">
        <v>3</v>
      </c>
      <c r="Z113" t="e">
        <f>#REF!</f>
        <v>#REF!</v>
      </c>
      <c r="AA113">
        <v>361587463</v>
      </c>
      <c r="AB113">
        <v>361587463</v>
      </c>
    </row>
    <row r="114" spans="1:28" x14ac:dyDescent="0.25">
      <c r="A114">
        <v>20</v>
      </c>
      <c r="B114">
        <v>244</v>
      </c>
      <c r="C114">
        <v>3</v>
      </c>
      <c r="D114">
        <v>0</v>
      </c>
      <c r="E114" t="e">
        <f>#REF!</f>
        <v>#REF!</v>
      </c>
      <c r="F114" t="e">
        <f>#REF!</f>
        <v>#REF!</v>
      </c>
      <c r="G114" t="e">
        <f>#REF!</f>
        <v>#REF!</v>
      </c>
      <c r="H114" t="e">
        <f>#REF!</f>
        <v>#REF!</v>
      </c>
      <c r="I114" t="e">
        <f>#REF!*#REF!</f>
        <v>#REF!</v>
      </c>
      <c r="J114" t="e">
        <f>#REF!</f>
        <v>#REF!</v>
      </c>
      <c r="K114" t="e">
        <f>#REF!</f>
        <v>#REF!</v>
      </c>
      <c r="L114" t="e">
        <f>#REF!</f>
        <v>#REF!</v>
      </c>
      <c r="M114" t="e">
        <f>ROUND(ROUND(L114*#REF!, 6)*1, 2)</f>
        <v>#REF!</v>
      </c>
      <c r="N114" t="e">
        <f>#REF!</f>
        <v>#REF!</v>
      </c>
      <c r="O114" t="e">
        <f>ROUND(ROUND(L114*#REF!, 6)*#REF!, 2)</f>
        <v>#REF!</v>
      </c>
      <c r="P114" t="e">
        <f>#REF!</f>
        <v>#REF!</v>
      </c>
      <c r="Q114" t="e">
        <f>#REF!</f>
        <v>#REF!</v>
      </c>
      <c r="R114" t="e">
        <f>ROUND(ROUND(Q114*#REF!, 6)*1, 2)</f>
        <v>#REF!</v>
      </c>
      <c r="S114" t="e">
        <f>#REF!</f>
        <v>#REF!</v>
      </c>
      <c r="T114" t="e">
        <f>ROUND(ROUND(Q114*#REF!, 6)*#REF!, 2)</f>
        <v>#REF!</v>
      </c>
      <c r="U114">
        <v>3</v>
      </c>
      <c r="Z114" t="e">
        <f>#REF!</f>
        <v>#REF!</v>
      </c>
      <c r="AA114">
        <v>-2003718551</v>
      </c>
      <c r="AB114">
        <v>-2003718551</v>
      </c>
    </row>
    <row r="115" spans="1:28" x14ac:dyDescent="0.25">
      <c r="A115" t="e">
        <f>#REF!</f>
        <v>#REF!</v>
      </c>
      <c r="B115">
        <v>216</v>
      </c>
      <c r="C115">
        <v>3</v>
      </c>
      <c r="D115" t="e">
        <f>#REF!</f>
        <v>#REF!</v>
      </c>
      <c r="E115" t="e">
        <f>#REF!</f>
        <v>#REF!</v>
      </c>
      <c r="F115" t="e">
        <f>#REF!</f>
        <v>#REF!</v>
      </c>
      <c r="G115" t="e">
        <f>#REF!</f>
        <v>#REF!</v>
      </c>
      <c r="H115" t="e">
        <f>#REF!</f>
        <v>#REF!</v>
      </c>
      <c r="I115" t="e">
        <f>#REF!</f>
        <v>#REF!</v>
      </c>
      <c r="J115">
        <v>1</v>
      </c>
      <c r="K115" t="e">
        <f>#REF!</f>
        <v>#REF!</v>
      </c>
      <c r="M115" t="e">
        <f>ROUND(K115*I115, 2)</f>
        <v>#REF!</v>
      </c>
      <c r="N115" t="e">
        <f>#REF!*IF(#REF!&lt;&gt; 0,#REF!, 1)</f>
        <v>#REF!</v>
      </c>
      <c r="O115" t="e">
        <f>ROUND(N115*I115, 2)</f>
        <v>#REF!</v>
      </c>
      <c r="P115" t="e">
        <f>#REF!</f>
        <v>#REF!</v>
      </c>
      <c r="R115" t="e">
        <f>ROUND(P115*I115, 2)</f>
        <v>#REF!</v>
      </c>
      <c r="S115" t="e">
        <f>#REF!*IF(#REF!&lt;&gt; 0,#REF!, 1)</f>
        <v>#REF!</v>
      </c>
      <c r="T115" t="e">
        <f>ROUND(S115*I115, 2)</f>
        <v>#REF!</v>
      </c>
      <c r="U115">
        <v>3</v>
      </c>
      <c r="Z115" t="e">
        <f>#REF!</f>
        <v>#REF!</v>
      </c>
      <c r="AA115">
        <v>-1434953301</v>
      </c>
      <c r="AB115">
        <v>-1434953301</v>
      </c>
    </row>
    <row r="116" spans="1:28" x14ac:dyDescent="0.25">
      <c r="A116">
        <v>20</v>
      </c>
      <c r="B116">
        <v>260</v>
      </c>
      <c r="C116">
        <v>3</v>
      </c>
      <c r="D116">
        <v>0</v>
      </c>
      <c r="E116" t="e">
        <f>#REF!</f>
        <v>#REF!</v>
      </c>
      <c r="F116" t="e">
        <f>#REF!</f>
        <v>#REF!</v>
      </c>
      <c r="G116" t="e">
        <f>#REF!</f>
        <v>#REF!</v>
      </c>
      <c r="H116" t="e">
        <f>#REF!</f>
        <v>#REF!</v>
      </c>
      <c r="I116" t="e">
        <f>#REF!*#REF!</f>
        <v>#REF!</v>
      </c>
      <c r="J116" t="e">
        <f>#REF!</f>
        <v>#REF!</v>
      </c>
      <c r="K116" t="e">
        <f>#REF!</f>
        <v>#REF!</v>
      </c>
      <c r="L116" t="e">
        <f>#REF!</f>
        <v>#REF!</v>
      </c>
      <c r="M116" t="e">
        <f>ROUND(ROUND(L116*#REF!, 6)*1, 2)</f>
        <v>#REF!</v>
      </c>
      <c r="N116" t="e">
        <f>#REF!</f>
        <v>#REF!</v>
      </c>
      <c r="O116" t="e">
        <f>ROUND(ROUND(L116*#REF!, 6)*#REF!, 2)</f>
        <v>#REF!</v>
      </c>
      <c r="P116" t="e">
        <f>#REF!</f>
        <v>#REF!</v>
      </c>
      <c r="Q116" t="e">
        <f>#REF!</f>
        <v>#REF!</v>
      </c>
      <c r="R116" t="e">
        <f>ROUND(ROUND(Q116*#REF!, 6)*1, 2)</f>
        <v>#REF!</v>
      </c>
      <c r="S116" t="e">
        <f>#REF!</f>
        <v>#REF!</v>
      </c>
      <c r="T116" t="e">
        <f>ROUND(ROUND(Q116*#REF!, 6)*#REF!, 2)</f>
        <v>#REF!</v>
      </c>
      <c r="U116">
        <v>3</v>
      </c>
      <c r="Z116" t="e">
        <f>#REF!</f>
        <v>#REF!</v>
      </c>
      <c r="AA116">
        <v>553073040</v>
      </c>
      <c r="AB116">
        <v>553073040</v>
      </c>
    </row>
    <row r="117" spans="1:28" x14ac:dyDescent="0.25">
      <c r="A117">
        <v>20</v>
      </c>
      <c r="B117">
        <v>259</v>
      </c>
      <c r="C117">
        <v>3</v>
      </c>
      <c r="D117">
        <v>0</v>
      </c>
      <c r="E117" t="e">
        <f>#REF!</f>
        <v>#REF!</v>
      </c>
      <c r="F117" t="e">
        <f>#REF!</f>
        <v>#REF!</v>
      </c>
      <c r="G117" t="e">
        <f>#REF!</f>
        <v>#REF!</v>
      </c>
      <c r="H117" t="e">
        <f>#REF!</f>
        <v>#REF!</v>
      </c>
      <c r="I117" t="e">
        <f>#REF!*#REF!</f>
        <v>#REF!</v>
      </c>
      <c r="J117" t="e">
        <f>#REF!</f>
        <v>#REF!</v>
      </c>
      <c r="K117" t="e">
        <f>#REF!</f>
        <v>#REF!</v>
      </c>
      <c r="L117" t="e">
        <f>#REF!</f>
        <v>#REF!</v>
      </c>
      <c r="M117" t="e">
        <f>ROUND(ROUND(L117*#REF!, 6)*1, 2)</f>
        <v>#REF!</v>
      </c>
      <c r="N117" t="e">
        <f>#REF!</f>
        <v>#REF!</v>
      </c>
      <c r="O117" t="e">
        <f>ROUND(ROUND(L117*#REF!, 6)*#REF!, 2)</f>
        <v>#REF!</v>
      </c>
      <c r="P117" t="e">
        <f>#REF!</f>
        <v>#REF!</v>
      </c>
      <c r="Q117" t="e">
        <f>#REF!</f>
        <v>#REF!</v>
      </c>
      <c r="R117" t="e">
        <f>ROUND(ROUND(Q117*#REF!, 6)*1, 2)</f>
        <v>#REF!</v>
      </c>
      <c r="S117" t="e">
        <f>#REF!</f>
        <v>#REF!</v>
      </c>
      <c r="T117" t="e">
        <f>ROUND(ROUND(Q117*#REF!, 6)*#REF!, 2)</f>
        <v>#REF!</v>
      </c>
      <c r="U117">
        <v>3</v>
      </c>
      <c r="Z117" t="e">
        <f>#REF!</f>
        <v>#REF!</v>
      </c>
      <c r="AA117">
        <v>156568662</v>
      </c>
      <c r="AB117">
        <v>156568662</v>
      </c>
    </row>
    <row r="118" spans="1:28" x14ac:dyDescent="0.25">
      <c r="A118">
        <v>20</v>
      </c>
      <c r="B118">
        <v>258</v>
      </c>
      <c r="C118">
        <v>3</v>
      </c>
      <c r="D118">
        <v>0</v>
      </c>
      <c r="E118" t="e">
        <f>#REF!</f>
        <v>#REF!</v>
      </c>
      <c r="F118" t="e">
        <f>#REF!</f>
        <v>#REF!</v>
      </c>
      <c r="G118" t="e">
        <f>#REF!</f>
        <v>#REF!</v>
      </c>
      <c r="H118" t="e">
        <f>#REF!</f>
        <v>#REF!</v>
      </c>
      <c r="I118" t="e">
        <f>#REF!*#REF!</f>
        <v>#REF!</v>
      </c>
      <c r="J118" t="e">
        <f>#REF!</f>
        <v>#REF!</v>
      </c>
      <c r="K118" t="e">
        <f>#REF!</f>
        <v>#REF!</v>
      </c>
      <c r="L118" t="e">
        <f>#REF!</f>
        <v>#REF!</v>
      </c>
      <c r="M118" t="e">
        <f>ROUND(ROUND(L118*#REF!, 6)*1, 2)</f>
        <v>#REF!</v>
      </c>
      <c r="N118" t="e">
        <f>#REF!</f>
        <v>#REF!</v>
      </c>
      <c r="O118" t="e">
        <f>ROUND(ROUND(L118*#REF!, 6)*#REF!, 2)</f>
        <v>#REF!</v>
      </c>
      <c r="P118" t="e">
        <f>#REF!</f>
        <v>#REF!</v>
      </c>
      <c r="Q118" t="e">
        <f>#REF!</f>
        <v>#REF!</v>
      </c>
      <c r="R118" t="e">
        <f>ROUND(ROUND(Q118*#REF!, 6)*1, 2)</f>
        <v>#REF!</v>
      </c>
      <c r="S118" t="e">
        <f>#REF!</f>
        <v>#REF!</v>
      </c>
      <c r="T118" t="e">
        <f>ROUND(ROUND(Q118*#REF!, 6)*#REF!, 2)</f>
        <v>#REF!</v>
      </c>
      <c r="U118">
        <v>3</v>
      </c>
      <c r="Z118" t="e">
        <f>#REF!</f>
        <v>#REF!</v>
      </c>
      <c r="AA118">
        <v>1090554431</v>
      </c>
      <c r="AB118">
        <v>1090554431</v>
      </c>
    </row>
    <row r="119" spans="1:28" x14ac:dyDescent="0.25">
      <c r="A119">
        <v>20</v>
      </c>
      <c r="B119">
        <v>257</v>
      </c>
      <c r="C119">
        <v>3</v>
      </c>
      <c r="D119">
        <v>0</v>
      </c>
      <c r="E119" t="e">
        <f>#REF!</f>
        <v>#REF!</v>
      </c>
      <c r="F119" t="e">
        <f>#REF!</f>
        <v>#REF!</v>
      </c>
      <c r="G119" t="e">
        <f>#REF!</f>
        <v>#REF!</v>
      </c>
      <c r="H119" t="e">
        <f>#REF!</f>
        <v>#REF!</v>
      </c>
      <c r="I119" t="e">
        <f>#REF!*#REF!</f>
        <v>#REF!</v>
      </c>
      <c r="J119" t="e">
        <f>#REF!</f>
        <v>#REF!</v>
      </c>
      <c r="K119" t="e">
        <f>#REF!</f>
        <v>#REF!</v>
      </c>
      <c r="L119" t="e">
        <f>#REF!</f>
        <v>#REF!</v>
      </c>
      <c r="M119" t="e">
        <f>ROUND(ROUND(L119*#REF!, 6)*1, 2)</f>
        <v>#REF!</v>
      </c>
      <c r="N119" t="e">
        <f>#REF!</f>
        <v>#REF!</v>
      </c>
      <c r="O119" t="e">
        <f>ROUND(ROUND(L119*#REF!, 6)*#REF!, 2)</f>
        <v>#REF!</v>
      </c>
      <c r="P119" t="e">
        <f>#REF!</f>
        <v>#REF!</v>
      </c>
      <c r="Q119" t="e">
        <f>#REF!</f>
        <v>#REF!</v>
      </c>
      <c r="R119" t="e">
        <f>ROUND(ROUND(Q119*#REF!, 6)*1, 2)</f>
        <v>#REF!</v>
      </c>
      <c r="S119" t="e">
        <f>#REF!</f>
        <v>#REF!</v>
      </c>
      <c r="T119" t="e">
        <f>ROUND(ROUND(Q119*#REF!, 6)*#REF!, 2)</f>
        <v>#REF!</v>
      </c>
      <c r="U119">
        <v>3</v>
      </c>
      <c r="Z119" t="e">
        <f>#REF!</f>
        <v>#REF!</v>
      </c>
      <c r="AA119">
        <v>-1709044443</v>
      </c>
      <c r="AB119">
        <v>-1709044443</v>
      </c>
    </row>
    <row r="120" spans="1:28" x14ac:dyDescent="0.25">
      <c r="A120">
        <v>20</v>
      </c>
      <c r="B120">
        <v>263</v>
      </c>
      <c r="C120">
        <v>3</v>
      </c>
      <c r="D120">
        <v>0</v>
      </c>
      <c r="E120" t="e">
        <f>#REF!</f>
        <v>#REF!</v>
      </c>
      <c r="F120" t="e">
        <f>#REF!</f>
        <v>#REF!</v>
      </c>
      <c r="G120" t="e">
        <f>#REF!</f>
        <v>#REF!</v>
      </c>
      <c r="H120" t="e">
        <f>#REF!</f>
        <v>#REF!</v>
      </c>
      <c r="I120" t="e">
        <f>#REF!*#REF!</f>
        <v>#REF!</v>
      </c>
      <c r="J120" t="e">
        <f>#REF!</f>
        <v>#REF!</v>
      </c>
      <c r="K120" t="e">
        <f>#REF!</f>
        <v>#REF!</v>
      </c>
      <c r="L120" t="e">
        <f>#REF!</f>
        <v>#REF!</v>
      </c>
      <c r="M120" t="e">
        <f>ROUND(ROUND(L120*#REF!, 6)*1, 2)</f>
        <v>#REF!</v>
      </c>
      <c r="N120" t="e">
        <f>#REF!</f>
        <v>#REF!</v>
      </c>
      <c r="O120" t="e">
        <f>ROUND(ROUND(L120*#REF!, 6)*#REF!, 2)</f>
        <v>#REF!</v>
      </c>
      <c r="P120" t="e">
        <f>#REF!</f>
        <v>#REF!</v>
      </c>
      <c r="Q120" t="e">
        <f>#REF!</f>
        <v>#REF!</v>
      </c>
      <c r="R120" t="e">
        <f>ROUND(ROUND(Q120*#REF!, 6)*1, 2)</f>
        <v>#REF!</v>
      </c>
      <c r="S120" t="e">
        <f>#REF!</f>
        <v>#REF!</v>
      </c>
      <c r="T120" t="e">
        <f>ROUND(ROUND(Q120*#REF!, 6)*#REF!, 2)</f>
        <v>#REF!</v>
      </c>
      <c r="U120">
        <v>3</v>
      </c>
      <c r="Z120" t="e">
        <f>#REF!</f>
        <v>#REF!</v>
      </c>
      <c r="AA120">
        <v>-415992801</v>
      </c>
      <c r="AB120">
        <v>-415992801</v>
      </c>
    </row>
    <row r="121" spans="1:28" x14ac:dyDescent="0.25">
      <c r="A121">
        <v>20</v>
      </c>
      <c r="B121">
        <v>262</v>
      </c>
      <c r="C121">
        <v>3</v>
      </c>
      <c r="D121">
        <v>0</v>
      </c>
      <c r="E121" t="e">
        <f>#REF!</f>
        <v>#REF!</v>
      </c>
      <c r="F121" t="e">
        <f>#REF!</f>
        <v>#REF!</v>
      </c>
      <c r="G121" t="e">
        <f>#REF!</f>
        <v>#REF!</v>
      </c>
      <c r="H121" t="e">
        <f>#REF!</f>
        <v>#REF!</v>
      </c>
      <c r="I121" t="e">
        <f>#REF!*#REF!</f>
        <v>#REF!</v>
      </c>
      <c r="J121" t="e">
        <f>#REF!</f>
        <v>#REF!</v>
      </c>
      <c r="K121" t="e">
        <f>#REF!</f>
        <v>#REF!</v>
      </c>
      <c r="L121" t="e">
        <f>#REF!</f>
        <v>#REF!</v>
      </c>
      <c r="M121" t="e">
        <f>ROUND(ROUND(L121*#REF!, 6)*1, 2)</f>
        <v>#REF!</v>
      </c>
      <c r="N121" t="e">
        <f>#REF!</f>
        <v>#REF!</v>
      </c>
      <c r="O121" t="e">
        <f>ROUND(ROUND(L121*#REF!, 6)*#REF!, 2)</f>
        <v>#REF!</v>
      </c>
      <c r="P121" t="e">
        <f>#REF!</f>
        <v>#REF!</v>
      </c>
      <c r="Q121" t="e">
        <f>#REF!</f>
        <v>#REF!</v>
      </c>
      <c r="R121" t="e">
        <f>ROUND(ROUND(Q121*#REF!, 6)*1, 2)</f>
        <v>#REF!</v>
      </c>
      <c r="S121" t="e">
        <f>#REF!</f>
        <v>#REF!</v>
      </c>
      <c r="T121" t="e">
        <f>ROUND(ROUND(Q121*#REF!, 6)*#REF!, 2)</f>
        <v>#REF!</v>
      </c>
      <c r="U121">
        <v>3</v>
      </c>
      <c r="Z121" t="e">
        <f>#REF!</f>
        <v>#REF!</v>
      </c>
      <c r="AA121">
        <v>281223493</v>
      </c>
      <c r="AB121">
        <v>281223493</v>
      </c>
    </row>
    <row r="122" spans="1:28" x14ac:dyDescent="0.25">
      <c r="A122">
        <v>20</v>
      </c>
      <c r="B122">
        <v>269</v>
      </c>
      <c r="C122">
        <v>3</v>
      </c>
      <c r="D122">
        <v>0</v>
      </c>
      <c r="E122" t="e">
        <f>#REF!</f>
        <v>#REF!</v>
      </c>
      <c r="F122" t="e">
        <f>#REF!</f>
        <v>#REF!</v>
      </c>
      <c r="G122" t="e">
        <f>#REF!</f>
        <v>#REF!</v>
      </c>
      <c r="H122" t="e">
        <f>#REF!</f>
        <v>#REF!</v>
      </c>
      <c r="I122" t="e">
        <f>#REF!*#REF!</f>
        <v>#REF!</v>
      </c>
      <c r="J122" t="e">
        <f>#REF!</f>
        <v>#REF!</v>
      </c>
      <c r="K122" t="e">
        <f>#REF!</f>
        <v>#REF!</v>
      </c>
      <c r="L122" t="e">
        <f>#REF!</f>
        <v>#REF!</v>
      </c>
      <c r="M122" t="e">
        <f>ROUND(ROUND(L122*#REF!, 6)*1, 2)</f>
        <v>#REF!</v>
      </c>
      <c r="N122" t="e">
        <f>#REF!</f>
        <v>#REF!</v>
      </c>
      <c r="O122" t="e">
        <f>ROUND(ROUND(L122*#REF!, 6)*#REF!, 2)</f>
        <v>#REF!</v>
      </c>
      <c r="P122" t="e">
        <f>#REF!</f>
        <v>#REF!</v>
      </c>
      <c r="Q122" t="e">
        <f>#REF!</f>
        <v>#REF!</v>
      </c>
      <c r="R122" t="e">
        <f>ROUND(ROUND(Q122*#REF!, 6)*1, 2)</f>
        <v>#REF!</v>
      </c>
      <c r="S122" t="e">
        <f>#REF!</f>
        <v>#REF!</v>
      </c>
      <c r="T122" t="e">
        <f>ROUND(ROUND(Q122*#REF!, 6)*#REF!, 2)</f>
        <v>#REF!</v>
      </c>
      <c r="U122">
        <v>3</v>
      </c>
      <c r="Z122" t="e">
        <f>#REF!</f>
        <v>#REF!</v>
      </c>
      <c r="AA122">
        <v>431684150</v>
      </c>
      <c r="AB122">
        <v>431684150</v>
      </c>
    </row>
    <row r="123" spans="1:28" x14ac:dyDescent="0.25">
      <c r="A123">
        <v>20</v>
      </c>
      <c r="B123">
        <v>268</v>
      </c>
      <c r="C123">
        <v>3</v>
      </c>
      <c r="D123">
        <v>0</v>
      </c>
      <c r="E123" t="e">
        <f>#REF!</f>
        <v>#REF!</v>
      </c>
      <c r="F123" t="e">
        <f>#REF!</f>
        <v>#REF!</v>
      </c>
      <c r="G123" t="e">
        <f>#REF!</f>
        <v>#REF!</v>
      </c>
      <c r="H123" t="e">
        <f>#REF!</f>
        <v>#REF!</v>
      </c>
      <c r="I123" t="e">
        <f>#REF!*#REF!</f>
        <v>#REF!</v>
      </c>
      <c r="J123" t="e">
        <f>#REF!</f>
        <v>#REF!</v>
      </c>
      <c r="K123" t="e">
        <f>#REF!</f>
        <v>#REF!</v>
      </c>
      <c r="L123" t="e">
        <f>#REF!</f>
        <v>#REF!</v>
      </c>
      <c r="M123" t="e">
        <f>ROUND(ROUND(L123*#REF!, 6)*1, 2)</f>
        <v>#REF!</v>
      </c>
      <c r="N123" t="e">
        <f>#REF!</f>
        <v>#REF!</v>
      </c>
      <c r="O123" t="e">
        <f>ROUND(ROUND(L123*#REF!, 6)*#REF!, 2)</f>
        <v>#REF!</v>
      </c>
      <c r="P123" t="e">
        <f>#REF!</f>
        <v>#REF!</v>
      </c>
      <c r="Q123" t="e">
        <f>#REF!</f>
        <v>#REF!</v>
      </c>
      <c r="R123" t="e">
        <f>ROUND(ROUND(Q123*#REF!, 6)*1, 2)</f>
        <v>#REF!</v>
      </c>
      <c r="S123" t="e">
        <f>#REF!</f>
        <v>#REF!</v>
      </c>
      <c r="T123" t="e">
        <f>ROUND(ROUND(Q123*#REF!, 6)*#REF!, 2)</f>
        <v>#REF!</v>
      </c>
      <c r="U123">
        <v>3</v>
      </c>
      <c r="Z123" t="e">
        <f>#REF!</f>
        <v>#REF!</v>
      </c>
      <c r="AA123">
        <v>714169385</v>
      </c>
      <c r="AB123">
        <v>714169385</v>
      </c>
    </row>
    <row r="124" spans="1:28" x14ac:dyDescent="0.25">
      <c r="A124">
        <v>20</v>
      </c>
      <c r="B124">
        <v>267</v>
      </c>
      <c r="C124">
        <v>3</v>
      </c>
      <c r="D124">
        <v>0</v>
      </c>
      <c r="E124" t="e">
        <f>#REF!</f>
        <v>#REF!</v>
      </c>
      <c r="F124" t="e">
        <f>#REF!</f>
        <v>#REF!</v>
      </c>
      <c r="G124" t="e">
        <f>#REF!</f>
        <v>#REF!</v>
      </c>
      <c r="H124" t="e">
        <f>#REF!</f>
        <v>#REF!</v>
      </c>
      <c r="I124" t="e">
        <f>#REF!*#REF!</f>
        <v>#REF!</v>
      </c>
      <c r="J124" t="e">
        <f>#REF!</f>
        <v>#REF!</v>
      </c>
      <c r="K124" t="e">
        <f>#REF!</f>
        <v>#REF!</v>
      </c>
      <c r="L124" t="e">
        <f>#REF!</f>
        <v>#REF!</v>
      </c>
      <c r="M124" t="e">
        <f>ROUND(ROUND(L124*#REF!, 6)*1, 2)</f>
        <v>#REF!</v>
      </c>
      <c r="N124" t="e">
        <f>#REF!</f>
        <v>#REF!</v>
      </c>
      <c r="O124" t="e">
        <f>ROUND(ROUND(L124*#REF!, 6)*#REF!, 2)</f>
        <v>#REF!</v>
      </c>
      <c r="P124" t="e">
        <f>#REF!</f>
        <v>#REF!</v>
      </c>
      <c r="Q124" t="e">
        <f>#REF!</f>
        <v>#REF!</v>
      </c>
      <c r="R124" t="e">
        <f>ROUND(ROUND(Q124*#REF!, 6)*1, 2)</f>
        <v>#REF!</v>
      </c>
      <c r="S124" t="e">
        <f>#REF!</f>
        <v>#REF!</v>
      </c>
      <c r="T124" t="e">
        <f>ROUND(ROUND(Q124*#REF!, 6)*#REF!, 2)</f>
        <v>#REF!</v>
      </c>
      <c r="U124">
        <v>3</v>
      </c>
      <c r="Z124" t="e">
        <f>#REF!</f>
        <v>#REF!</v>
      </c>
      <c r="AA124">
        <v>1203958368</v>
      </c>
      <c r="AB124">
        <v>1203958368</v>
      </c>
    </row>
    <row r="125" spans="1:28" x14ac:dyDescent="0.25">
      <c r="A125">
        <v>20</v>
      </c>
      <c r="B125">
        <v>279</v>
      </c>
      <c r="C125">
        <v>3</v>
      </c>
      <c r="D125">
        <v>0</v>
      </c>
      <c r="E125" t="e">
        <f>#REF!</f>
        <v>#REF!</v>
      </c>
      <c r="F125" t="e">
        <f>#REF!</f>
        <v>#REF!</v>
      </c>
      <c r="G125" t="e">
        <f>#REF!</f>
        <v>#REF!</v>
      </c>
      <c r="H125" t="e">
        <f>#REF!</f>
        <v>#REF!</v>
      </c>
      <c r="I125" t="e">
        <f>#REF!*#REF!</f>
        <v>#REF!</v>
      </c>
      <c r="J125" t="e">
        <f>#REF!</f>
        <v>#REF!</v>
      </c>
      <c r="K125" t="e">
        <f>#REF!</f>
        <v>#REF!</v>
      </c>
      <c r="L125" t="e">
        <f>#REF!</f>
        <v>#REF!</v>
      </c>
      <c r="M125" t="e">
        <f>ROUND(ROUND(L125*#REF!, 6)*1, 2)</f>
        <v>#REF!</v>
      </c>
      <c r="N125" t="e">
        <f>#REF!</f>
        <v>#REF!</v>
      </c>
      <c r="O125" t="e">
        <f>ROUND(ROUND(L125*#REF!, 6)*#REF!, 2)</f>
        <v>#REF!</v>
      </c>
      <c r="P125" t="e">
        <f>#REF!</f>
        <v>#REF!</v>
      </c>
      <c r="Q125" t="e">
        <f>#REF!</f>
        <v>#REF!</v>
      </c>
      <c r="R125" t="e">
        <f>ROUND(ROUND(Q125*#REF!, 6)*1, 2)</f>
        <v>#REF!</v>
      </c>
      <c r="S125" t="e">
        <f>#REF!</f>
        <v>#REF!</v>
      </c>
      <c r="T125" t="e">
        <f>ROUND(ROUND(Q125*#REF!, 6)*#REF!, 2)</f>
        <v>#REF!</v>
      </c>
      <c r="U125">
        <v>3</v>
      </c>
      <c r="Z125" t="e">
        <f>#REF!</f>
        <v>#REF!</v>
      </c>
      <c r="AA125">
        <v>-1265828857</v>
      </c>
      <c r="AB125">
        <v>-1265828857</v>
      </c>
    </row>
    <row r="126" spans="1:28" x14ac:dyDescent="0.25">
      <c r="A126">
        <v>20</v>
      </c>
      <c r="B126">
        <v>278</v>
      </c>
      <c r="C126">
        <v>3</v>
      </c>
      <c r="D126">
        <v>0</v>
      </c>
      <c r="E126" t="e">
        <f>#REF!</f>
        <v>#REF!</v>
      </c>
      <c r="F126" t="e">
        <f>#REF!</f>
        <v>#REF!</v>
      </c>
      <c r="G126" t="e">
        <f>#REF!</f>
        <v>#REF!</v>
      </c>
      <c r="H126" t="e">
        <f>#REF!</f>
        <v>#REF!</v>
      </c>
      <c r="I126" t="e">
        <f>#REF!*#REF!</f>
        <v>#REF!</v>
      </c>
      <c r="J126" t="e">
        <f>#REF!</f>
        <v>#REF!</v>
      </c>
      <c r="K126" t="e">
        <f>#REF!</f>
        <v>#REF!</v>
      </c>
      <c r="L126" t="e">
        <f>#REF!</f>
        <v>#REF!</v>
      </c>
      <c r="M126" t="e">
        <f>ROUND(ROUND(L126*#REF!, 6)*1, 2)</f>
        <v>#REF!</v>
      </c>
      <c r="N126" t="e">
        <f>#REF!</f>
        <v>#REF!</v>
      </c>
      <c r="O126" t="e">
        <f>ROUND(ROUND(L126*#REF!, 6)*#REF!, 2)</f>
        <v>#REF!</v>
      </c>
      <c r="P126" t="e">
        <f>#REF!</f>
        <v>#REF!</v>
      </c>
      <c r="Q126" t="e">
        <f>#REF!</f>
        <v>#REF!</v>
      </c>
      <c r="R126" t="e">
        <f>ROUND(ROUND(Q126*#REF!, 6)*1, 2)</f>
        <v>#REF!</v>
      </c>
      <c r="S126" t="e">
        <f>#REF!</f>
        <v>#REF!</v>
      </c>
      <c r="T126" t="e">
        <f>ROUND(ROUND(Q126*#REF!, 6)*#REF!, 2)</f>
        <v>#REF!</v>
      </c>
      <c r="U126">
        <v>3</v>
      </c>
      <c r="Z126" t="e">
        <f>#REF!</f>
        <v>#REF!</v>
      </c>
      <c r="AA126">
        <v>-1347747489</v>
      </c>
      <c r="AB126">
        <v>-1347747489</v>
      </c>
    </row>
    <row r="127" spans="1:28" x14ac:dyDescent="0.25">
      <c r="A127">
        <v>20</v>
      </c>
      <c r="B127">
        <v>277</v>
      </c>
      <c r="C127">
        <v>3</v>
      </c>
      <c r="D127">
        <v>0</v>
      </c>
      <c r="E127" t="e">
        <f>#REF!</f>
        <v>#REF!</v>
      </c>
      <c r="F127" t="e">
        <f>#REF!</f>
        <v>#REF!</v>
      </c>
      <c r="G127" t="e">
        <f>#REF!</f>
        <v>#REF!</v>
      </c>
      <c r="H127" t="e">
        <f>#REF!</f>
        <v>#REF!</v>
      </c>
      <c r="I127" t="e">
        <f>#REF!*#REF!</f>
        <v>#REF!</v>
      </c>
      <c r="J127" t="e">
        <f>#REF!</f>
        <v>#REF!</v>
      </c>
      <c r="K127" t="e">
        <f>#REF!</f>
        <v>#REF!</v>
      </c>
      <c r="L127" t="e">
        <f>#REF!</f>
        <v>#REF!</v>
      </c>
      <c r="M127" t="e">
        <f>ROUND(ROUND(L127*#REF!, 6)*1, 2)</f>
        <v>#REF!</v>
      </c>
      <c r="N127" t="e">
        <f>#REF!</f>
        <v>#REF!</v>
      </c>
      <c r="O127" t="e">
        <f>ROUND(ROUND(L127*#REF!, 6)*#REF!, 2)</f>
        <v>#REF!</v>
      </c>
      <c r="P127" t="e">
        <f>#REF!</f>
        <v>#REF!</v>
      </c>
      <c r="Q127" t="e">
        <f>#REF!</f>
        <v>#REF!</v>
      </c>
      <c r="R127" t="e">
        <f>ROUND(ROUND(Q127*#REF!, 6)*1, 2)</f>
        <v>#REF!</v>
      </c>
      <c r="S127" t="e">
        <f>#REF!</f>
        <v>#REF!</v>
      </c>
      <c r="T127" t="e">
        <f>ROUND(ROUND(Q127*#REF!, 6)*#REF!, 2)</f>
        <v>#REF!</v>
      </c>
      <c r="U127">
        <v>3</v>
      </c>
      <c r="Z127" t="e">
        <f>#REF!</f>
        <v>#REF!</v>
      </c>
      <c r="AA127">
        <v>1278575308</v>
      </c>
      <c r="AB127">
        <v>1278575308</v>
      </c>
    </row>
    <row r="128" spans="1:28" x14ac:dyDescent="0.25">
      <c r="A128">
        <v>20</v>
      </c>
      <c r="B128">
        <v>276</v>
      </c>
      <c r="C128">
        <v>3</v>
      </c>
      <c r="D128">
        <v>0</v>
      </c>
      <c r="E128" t="e">
        <f>#REF!</f>
        <v>#REF!</v>
      </c>
      <c r="F128" t="e">
        <f>#REF!</f>
        <v>#REF!</v>
      </c>
      <c r="G128" t="e">
        <f>#REF!</f>
        <v>#REF!</v>
      </c>
      <c r="H128" t="e">
        <f>#REF!</f>
        <v>#REF!</v>
      </c>
      <c r="I128" t="e">
        <f>#REF!*#REF!</f>
        <v>#REF!</v>
      </c>
      <c r="J128" t="e">
        <f>#REF!</f>
        <v>#REF!</v>
      </c>
      <c r="K128" t="e">
        <f>#REF!</f>
        <v>#REF!</v>
      </c>
      <c r="L128" t="e">
        <f>#REF!</f>
        <v>#REF!</v>
      </c>
      <c r="M128" t="e">
        <f>ROUND(ROUND(L128*#REF!, 6)*1, 2)</f>
        <v>#REF!</v>
      </c>
      <c r="N128" t="e">
        <f>#REF!</f>
        <v>#REF!</v>
      </c>
      <c r="O128" t="e">
        <f>ROUND(ROUND(L128*#REF!, 6)*#REF!, 2)</f>
        <v>#REF!</v>
      </c>
      <c r="P128" t="e">
        <f>#REF!</f>
        <v>#REF!</v>
      </c>
      <c r="Q128" t="e">
        <f>#REF!</f>
        <v>#REF!</v>
      </c>
      <c r="R128" t="e">
        <f>ROUND(ROUND(Q128*#REF!, 6)*1, 2)</f>
        <v>#REF!</v>
      </c>
      <c r="S128" t="e">
        <f>#REF!</f>
        <v>#REF!</v>
      </c>
      <c r="T128" t="e">
        <f>ROUND(ROUND(Q128*#REF!, 6)*#REF!, 2)</f>
        <v>#REF!</v>
      </c>
      <c r="U128">
        <v>3</v>
      </c>
      <c r="Z128" t="e">
        <f>#REF!</f>
        <v>#REF!</v>
      </c>
      <c r="AA128">
        <v>-2106593766</v>
      </c>
      <c r="AB128">
        <v>-2106593766</v>
      </c>
    </row>
    <row r="129" spans="1:28" x14ac:dyDescent="0.25">
      <c r="A129">
        <v>20</v>
      </c>
      <c r="B129">
        <v>275</v>
      </c>
      <c r="C129">
        <v>3</v>
      </c>
      <c r="D129">
        <v>0</v>
      </c>
      <c r="E129" t="e">
        <f>#REF!</f>
        <v>#REF!</v>
      </c>
      <c r="F129" t="e">
        <f>#REF!</f>
        <v>#REF!</v>
      </c>
      <c r="G129" t="e">
        <f>#REF!</f>
        <v>#REF!</v>
      </c>
      <c r="H129" t="e">
        <f>#REF!</f>
        <v>#REF!</v>
      </c>
      <c r="I129" t="e">
        <f>#REF!*#REF!</f>
        <v>#REF!</v>
      </c>
      <c r="J129" t="e">
        <f>#REF!</f>
        <v>#REF!</v>
      </c>
      <c r="K129" t="e">
        <f>#REF!</f>
        <v>#REF!</v>
      </c>
      <c r="L129" t="e">
        <f>#REF!</f>
        <v>#REF!</v>
      </c>
      <c r="M129" t="e">
        <f>ROUND(ROUND(L129*#REF!, 6)*1, 2)</f>
        <v>#REF!</v>
      </c>
      <c r="N129" t="e">
        <f>#REF!</f>
        <v>#REF!</v>
      </c>
      <c r="O129" t="e">
        <f>ROUND(ROUND(L129*#REF!, 6)*#REF!, 2)</f>
        <v>#REF!</v>
      </c>
      <c r="P129" t="e">
        <f>#REF!</f>
        <v>#REF!</v>
      </c>
      <c r="Q129" t="e">
        <f>#REF!</f>
        <v>#REF!</v>
      </c>
      <c r="R129" t="e">
        <f>ROUND(ROUND(Q129*#REF!, 6)*1, 2)</f>
        <v>#REF!</v>
      </c>
      <c r="S129" t="e">
        <f>#REF!</f>
        <v>#REF!</v>
      </c>
      <c r="T129" t="e">
        <f>ROUND(ROUND(Q129*#REF!, 6)*#REF!, 2)</f>
        <v>#REF!</v>
      </c>
      <c r="U129">
        <v>3</v>
      </c>
      <c r="Z129" t="e">
        <f>#REF!</f>
        <v>#REF!</v>
      </c>
      <c r="AA129">
        <v>-10684600</v>
      </c>
      <c r="AB129">
        <v>-10684600</v>
      </c>
    </row>
    <row r="130" spans="1:28" x14ac:dyDescent="0.25">
      <c r="A130">
        <v>20</v>
      </c>
      <c r="B130">
        <v>274</v>
      </c>
      <c r="C130">
        <v>3</v>
      </c>
      <c r="D130">
        <v>0</v>
      </c>
      <c r="E130" t="e">
        <f>#REF!</f>
        <v>#REF!</v>
      </c>
      <c r="F130" t="e">
        <f>#REF!</f>
        <v>#REF!</v>
      </c>
      <c r="G130" t="e">
        <f>#REF!</f>
        <v>#REF!</v>
      </c>
      <c r="H130" t="e">
        <f>#REF!</f>
        <v>#REF!</v>
      </c>
      <c r="I130" t="e">
        <f>#REF!*#REF!</f>
        <v>#REF!</v>
      </c>
      <c r="J130" t="e">
        <f>#REF!</f>
        <v>#REF!</v>
      </c>
      <c r="K130" t="e">
        <f>#REF!</f>
        <v>#REF!</v>
      </c>
      <c r="L130" t="e">
        <f>#REF!</f>
        <v>#REF!</v>
      </c>
      <c r="M130" t="e">
        <f>ROUND(ROUND(L130*#REF!, 6)*1, 2)</f>
        <v>#REF!</v>
      </c>
      <c r="N130" t="e">
        <f>#REF!</f>
        <v>#REF!</v>
      </c>
      <c r="O130" t="e">
        <f>ROUND(ROUND(L130*#REF!, 6)*#REF!, 2)</f>
        <v>#REF!</v>
      </c>
      <c r="P130" t="e">
        <f>#REF!</f>
        <v>#REF!</v>
      </c>
      <c r="Q130" t="e">
        <f>#REF!</f>
        <v>#REF!</v>
      </c>
      <c r="R130" t="e">
        <f>ROUND(ROUND(Q130*#REF!, 6)*1, 2)</f>
        <v>#REF!</v>
      </c>
      <c r="S130" t="e">
        <f>#REF!</f>
        <v>#REF!</v>
      </c>
      <c r="T130" t="e">
        <f>ROUND(ROUND(Q130*#REF!, 6)*#REF!, 2)</f>
        <v>#REF!</v>
      </c>
      <c r="U130">
        <v>3</v>
      </c>
      <c r="Z130" t="e">
        <f>#REF!</f>
        <v>#REF!</v>
      </c>
      <c r="AA130">
        <v>-1839512226</v>
      </c>
      <c r="AB130">
        <v>-1839512226</v>
      </c>
    </row>
    <row r="131" spans="1:28" x14ac:dyDescent="0.25">
      <c r="A131">
        <v>20</v>
      </c>
      <c r="B131">
        <v>284</v>
      </c>
      <c r="C131">
        <v>3</v>
      </c>
      <c r="D131">
        <v>0</v>
      </c>
      <c r="E131" t="e">
        <f>#REF!</f>
        <v>#REF!</v>
      </c>
      <c r="F131" t="e">
        <f>#REF!</f>
        <v>#REF!</v>
      </c>
      <c r="G131" t="e">
        <f>#REF!</f>
        <v>#REF!</v>
      </c>
      <c r="H131" t="e">
        <f>#REF!</f>
        <v>#REF!</v>
      </c>
      <c r="I131" t="e">
        <f>#REF!*#REF!</f>
        <v>#REF!</v>
      </c>
      <c r="J131" t="e">
        <f>#REF!</f>
        <v>#REF!</v>
      </c>
      <c r="K131" t="e">
        <f>#REF!</f>
        <v>#REF!</v>
      </c>
      <c r="L131" t="e">
        <f>#REF!</f>
        <v>#REF!</v>
      </c>
      <c r="M131" t="e">
        <f>ROUND(ROUND(L131*#REF!, 6)*1, 2)</f>
        <v>#REF!</v>
      </c>
      <c r="N131" t="e">
        <f>#REF!</f>
        <v>#REF!</v>
      </c>
      <c r="O131" t="e">
        <f>ROUND(ROUND(L131*#REF!, 6)*#REF!, 2)</f>
        <v>#REF!</v>
      </c>
      <c r="P131" t="e">
        <f>#REF!</f>
        <v>#REF!</v>
      </c>
      <c r="Q131" t="e">
        <f>#REF!</f>
        <v>#REF!</v>
      </c>
      <c r="R131" t="e">
        <f>ROUND(ROUND(Q131*#REF!, 6)*1, 2)</f>
        <v>#REF!</v>
      </c>
      <c r="S131" t="e">
        <f>#REF!</f>
        <v>#REF!</v>
      </c>
      <c r="T131" t="e">
        <f>ROUND(ROUND(Q131*#REF!, 6)*#REF!, 2)</f>
        <v>#REF!</v>
      </c>
      <c r="U131">
        <v>3</v>
      </c>
      <c r="Z131" t="e">
        <f>#REF!</f>
        <v>#REF!</v>
      </c>
      <c r="AA131">
        <v>431684150</v>
      </c>
      <c r="AB131">
        <v>431684150</v>
      </c>
    </row>
    <row r="132" spans="1:28" x14ac:dyDescent="0.25">
      <c r="A132">
        <v>20</v>
      </c>
      <c r="B132">
        <v>283</v>
      </c>
      <c r="C132">
        <v>3</v>
      </c>
      <c r="D132">
        <v>0</v>
      </c>
      <c r="E132" t="e">
        <f>#REF!</f>
        <v>#REF!</v>
      </c>
      <c r="F132" t="e">
        <f>#REF!</f>
        <v>#REF!</v>
      </c>
      <c r="G132" t="e">
        <f>#REF!</f>
        <v>#REF!</v>
      </c>
      <c r="H132" t="e">
        <f>#REF!</f>
        <v>#REF!</v>
      </c>
      <c r="I132" t="e">
        <f>#REF!*#REF!</f>
        <v>#REF!</v>
      </c>
      <c r="J132" t="e">
        <f>#REF!</f>
        <v>#REF!</v>
      </c>
      <c r="K132" t="e">
        <f>#REF!</f>
        <v>#REF!</v>
      </c>
      <c r="L132" t="e">
        <f>#REF!</f>
        <v>#REF!</v>
      </c>
      <c r="M132" t="e">
        <f>ROUND(ROUND(L132*#REF!, 6)*1, 2)</f>
        <v>#REF!</v>
      </c>
      <c r="N132" t="e">
        <f>#REF!</f>
        <v>#REF!</v>
      </c>
      <c r="O132" t="e">
        <f>ROUND(ROUND(L132*#REF!, 6)*#REF!, 2)</f>
        <v>#REF!</v>
      </c>
      <c r="P132" t="e">
        <f>#REF!</f>
        <v>#REF!</v>
      </c>
      <c r="Q132" t="e">
        <f>#REF!</f>
        <v>#REF!</v>
      </c>
      <c r="R132" t="e">
        <f>ROUND(ROUND(Q132*#REF!, 6)*1, 2)</f>
        <v>#REF!</v>
      </c>
      <c r="S132" t="e">
        <f>#REF!</f>
        <v>#REF!</v>
      </c>
      <c r="T132" t="e">
        <f>ROUND(ROUND(Q132*#REF!, 6)*#REF!, 2)</f>
        <v>#REF!</v>
      </c>
      <c r="U132">
        <v>3</v>
      </c>
      <c r="Z132" t="e">
        <f>#REF!</f>
        <v>#REF!</v>
      </c>
      <c r="AA132">
        <v>714169385</v>
      </c>
      <c r="AB132">
        <v>714169385</v>
      </c>
    </row>
    <row r="133" spans="1:28" x14ac:dyDescent="0.25">
      <c r="A133">
        <v>20</v>
      </c>
      <c r="B133">
        <v>282</v>
      </c>
      <c r="C133">
        <v>3</v>
      </c>
      <c r="D133">
        <v>0</v>
      </c>
      <c r="E133" t="e">
        <f>#REF!</f>
        <v>#REF!</v>
      </c>
      <c r="F133" t="e">
        <f>#REF!</f>
        <v>#REF!</v>
      </c>
      <c r="G133" t="e">
        <f>#REF!</f>
        <v>#REF!</v>
      </c>
      <c r="H133" t="e">
        <f>#REF!</f>
        <v>#REF!</v>
      </c>
      <c r="I133" t="e">
        <f>#REF!*#REF!</f>
        <v>#REF!</v>
      </c>
      <c r="J133" t="e">
        <f>#REF!</f>
        <v>#REF!</v>
      </c>
      <c r="K133" t="e">
        <f>#REF!</f>
        <v>#REF!</v>
      </c>
      <c r="L133" t="e">
        <f>#REF!</f>
        <v>#REF!</v>
      </c>
      <c r="M133" t="e">
        <f>ROUND(ROUND(L133*#REF!, 6)*1, 2)</f>
        <v>#REF!</v>
      </c>
      <c r="N133" t="e">
        <f>#REF!</f>
        <v>#REF!</v>
      </c>
      <c r="O133" t="e">
        <f>ROUND(ROUND(L133*#REF!, 6)*#REF!, 2)</f>
        <v>#REF!</v>
      </c>
      <c r="P133" t="e">
        <f>#REF!</f>
        <v>#REF!</v>
      </c>
      <c r="Q133" t="e">
        <f>#REF!</f>
        <v>#REF!</v>
      </c>
      <c r="R133" t="e">
        <f>ROUND(ROUND(Q133*#REF!, 6)*1, 2)</f>
        <v>#REF!</v>
      </c>
      <c r="S133" t="e">
        <f>#REF!</f>
        <v>#REF!</v>
      </c>
      <c r="T133" t="e">
        <f>ROUND(ROUND(Q133*#REF!, 6)*#REF!, 2)</f>
        <v>#REF!</v>
      </c>
      <c r="U133">
        <v>3</v>
      </c>
      <c r="Z133" t="e">
        <f>#REF!</f>
        <v>#REF!</v>
      </c>
      <c r="AA133">
        <v>1203958368</v>
      </c>
      <c r="AB133">
        <v>1203958368</v>
      </c>
    </row>
    <row r="134" spans="1:28" x14ac:dyDescent="0.25">
      <c r="A134">
        <v>20</v>
      </c>
      <c r="B134">
        <v>292</v>
      </c>
      <c r="C134">
        <v>3</v>
      </c>
      <c r="D134">
        <v>0</v>
      </c>
      <c r="E134" t="e">
        <f>#REF!</f>
        <v>#REF!</v>
      </c>
      <c r="F134" t="e">
        <f>#REF!</f>
        <v>#REF!</v>
      </c>
      <c r="G134" t="e">
        <f>#REF!</f>
        <v>#REF!</v>
      </c>
      <c r="H134" t="e">
        <f>#REF!</f>
        <v>#REF!</v>
      </c>
      <c r="I134" t="e">
        <f>#REF!*#REF!</f>
        <v>#REF!</v>
      </c>
      <c r="J134" t="e">
        <f>#REF!</f>
        <v>#REF!</v>
      </c>
      <c r="K134" t="e">
        <f>#REF!</f>
        <v>#REF!</v>
      </c>
      <c r="L134" t="e">
        <f>#REF!</f>
        <v>#REF!</v>
      </c>
      <c r="M134" t="e">
        <f>ROUND(ROUND(L134*#REF!, 6)*1, 2)</f>
        <v>#REF!</v>
      </c>
      <c r="N134" t="e">
        <f>#REF!</f>
        <v>#REF!</v>
      </c>
      <c r="O134" t="e">
        <f>ROUND(ROUND(L134*#REF!, 6)*#REF!, 2)</f>
        <v>#REF!</v>
      </c>
      <c r="P134" t="e">
        <f>#REF!</f>
        <v>#REF!</v>
      </c>
      <c r="Q134" t="e">
        <f>#REF!</f>
        <v>#REF!</v>
      </c>
      <c r="R134" t="e">
        <f>ROUND(ROUND(Q134*#REF!, 6)*1, 2)</f>
        <v>#REF!</v>
      </c>
      <c r="S134" t="e">
        <f>#REF!</f>
        <v>#REF!</v>
      </c>
      <c r="T134" t="e">
        <f>ROUND(ROUND(Q134*#REF!, 6)*#REF!, 2)</f>
        <v>#REF!</v>
      </c>
      <c r="U134">
        <v>3</v>
      </c>
      <c r="Z134" t="e">
        <f>#REF!</f>
        <v>#REF!</v>
      </c>
      <c r="AA134">
        <v>1800689476</v>
      </c>
      <c r="AB134">
        <v>1800689476</v>
      </c>
    </row>
    <row r="135" spans="1:28" x14ac:dyDescent="0.25">
      <c r="A135">
        <v>20</v>
      </c>
      <c r="B135">
        <v>291</v>
      </c>
      <c r="C135">
        <v>3</v>
      </c>
      <c r="D135">
        <v>0</v>
      </c>
      <c r="E135" t="e">
        <f>#REF!</f>
        <v>#REF!</v>
      </c>
      <c r="F135" t="e">
        <f>#REF!</f>
        <v>#REF!</v>
      </c>
      <c r="G135" t="e">
        <f>#REF!</f>
        <v>#REF!</v>
      </c>
      <c r="H135" t="e">
        <f>#REF!</f>
        <v>#REF!</v>
      </c>
      <c r="I135" t="e">
        <f>#REF!*#REF!</f>
        <v>#REF!</v>
      </c>
      <c r="J135" t="e">
        <f>#REF!</f>
        <v>#REF!</v>
      </c>
      <c r="K135" t="e">
        <f>#REF!</f>
        <v>#REF!</v>
      </c>
      <c r="L135" t="e">
        <f>#REF!</f>
        <v>#REF!</v>
      </c>
      <c r="M135" t="e">
        <f>ROUND(ROUND(L135*#REF!, 6)*1, 2)</f>
        <v>#REF!</v>
      </c>
      <c r="N135" t="e">
        <f>#REF!</f>
        <v>#REF!</v>
      </c>
      <c r="O135" t="e">
        <f>ROUND(ROUND(L135*#REF!, 6)*#REF!, 2)</f>
        <v>#REF!</v>
      </c>
      <c r="P135" t="e">
        <f>#REF!</f>
        <v>#REF!</v>
      </c>
      <c r="Q135" t="e">
        <f>#REF!</f>
        <v>#REF!</v>
      </c>
      <c r="R135" t="e">
        <f>ROUND(ROUND(Q135*#REF!, 6)*1, 2)</f>
        <v>#REF!</v>
      </c>
      <c r="S135" t="e">
        <f>#REF!</f>
        <v>#REF!</v>
      </c>
      <c r="T135" t="e">
        <f>ROUND(ROUND(Q135*#REF!, 6)*#REF!, 2)</f>
        <v>#REF!</v>
      </c>
      <c r="U135">
        <v>3</v>
      </c>
      <c r="Z135" t="e">
        <f>#REF!</f>
        <v>#REF!</v>
      </c>
      <c r="AA135">
        <v>1145435012</v>
      </c>
      <c r="AB135">
        <v>1145435012</v>
      </c>
    </row>
    <row r="136" spans="1:28" x14ac:dyDescent="0.25">
      <c r="A136">
        <v>20</v>
      </c>
      <c r="B136">
        <v>290</v>
      </c>
      <c r="C136">
        <v>3</v>
      </c>
      <c r="D136">
        <v>0</v>
      </c>
      <c r="E136" t="e">
        <f>#REF!</f>
        <v>#REF!</v>
      </c>
      <c r="F136" t="e">
        <f>#REF!</f>
        <v>#REF!</v>
      </c>
      <c r="G136" t="e">
        <f>#REF!</f>
        <v>#REF!</v>
      </c>
      <c r="H136" t="e">
        <f>#REF!</f>
        <v>#REF!</v>
      </c>
      <c r="I136" t="e">
        <f>#REF!*#REF!</f>
        <v>#REF!</v>
      </c>
      <c r="J136" t="e">
        <f>#REF!</f>
        <v>#REF!</v>
      </c>
      <c r="K136" t="e">
        <f>#REF!</f>
        <v>#REF!</v>
      </c>
      <c r="L136" t="e">
        <f>#REF!</f>
        <v>#REF!</v>
      </c>
      <c r="M136" t="e">
        <f>ROUND(ROUND(L136*#REF!, 6)*1, 2)</f>
        <v>#REF!</v>
      </c>
      <c r="N136" t="e">
        <f>#REF!</f>
        <v>#REF!</v>
      </c>
      <c r="O136" t="e">
        <f>ROUND(ROUND(L136*#REF!, 6)*#REF!, 2)</f>
        <v>#REF!</v>
      </c>
      <c r="P136" t="e">
        <f>#REF!</f>
        <v>#REF!</v>
      </c>
      <c r="Q136" t="e">
        <f>#REF!</f>
        <v>#REF!</v>
      </c>
      <c r="R136" t="e">
        <f>ROUND(ROUND(Q136*#REF!, 6)*1, 2)</f>
        <v>#REF!</v>
      </c>
      <c r="S136" t="e">
        <f>#REF!</f>
        <v>#REF!</v>
      </c>
      <c r="T136" t="e">
        <f>ROUND(ROUND(Q136*#REF!, 6)*#REF!, 2)</f>
        <v>#REF!</v>
      </c>
      <c r="U136">
        <v>3</v>
      </c>
      <c r="Z136" t="e">
        <f>#REF!</f>
        <v>#REF!</v>
      </c>
      <c r="AA136">
        <v>-161127859</v>
      </c>
      <c r="AB136">
        <v>-161127859</v>
      </c>
    </row>
    <row r="137" spans="1:28" x14ac:dyDescent="0.25">
      <c r="A137">
        <v>20</v>
      </c>
      <c r="B137">
        <v>289</v>
      </c>
      <c r="C137">
        <v>3</v>
      </c>
      <c r="D137">
        <v>0</v>
      </c>
      <c r="E137" t="e">
        <f>#REF!</f>
        <v>#REF!</v>
      </c>
      <c r="F137" t="e">
        <f>#REF!</f>
        <v>#REF!</v>
      </c>
      <c r="G137" t="e">
        <f>#REF!</f>
        <v>#REF!</v>
      </c>
      <c r="H137" t="e">
        <f>#REF!</f>
        <v>#REF!</v>
      </c>
      <c r="I137" t="e">
        <f>#REF!*#REF!</f>
        <v>#REF!</v>
      </c>
      <c r="J137" t="e">
        <f>#REF!</f>
        <v>#REF!</v>
      </c>
      <c r="K137" t="e">
        <f>#REF!</f>
        <v>#REF!</v>
      </c>
      <c r="L137" t="e">
        <f>#REF!</f>
        <v>#REF!</v>
      </c>
      <c r="M137" t="e">
        <f>ROUND(ROUND(L137*#REF!, 6)*1, 2)</f>
        <v>#REF!</v>
      </c>
      <c r="N137" t="e">
        <f>#REF!</f>
        <v>#REF!</v>
      </c>
      <c r="O137" t="e">
        <f>ROUND(ROUND(L137*#REF!, 6)*#REF!, 2)</f>
        <v>#REF!</v>
      </c>
      <c r="P137" t="e">
        <f>#REF!</f>
        <v>#REF!</v>
      </c>
      <c r="Q137" t="e">
        <f>#REF!</f>
        <v>#REF!</v>
      </c>
      <c r="R137" t="e">
        <f>ROUND(ROUND(Q137*#REF!, 6)*1, 2)</f>
        <v>#REF!</v>
      </c>
      <c r="S137" t="e">
        <f>#REF!</f>
        <v>#REF!</v>
      </c>
      <c r="T137" t="e">
        <f>ROUND(ROUND(Q137*#REF!, 6)*#REF!, 2)</f>
        <v>#REF!</v>
      </c>
      <c r="U137">
        <v>3</v>
      </c>
      <c r="Z137" t="e">
        <f>#REF!</f>
        <v>#REF!</v>
      </c>
      <c r="AA137">
        <v>1085117016</v>
      </c>
      <c r="AB137">
        <v>1085117016</v>
      </c>
    </row>
    <row r="138" spans="1:28" x14ac:dyDescent="0.25">
      <c r="A138">
        <v>20</v>
      </c>
      <c r="B138">
        <v>288</v>
      </c>
      <c r="C138">
        <v>3</v>
      </c>
      <c r="D138">
        <v>0</v>
      </c>
      <c r="E138" t="e">
        <f>#REF!</f>
        <v>#REF!</v>
      </c>
      <c r="F138" t="e">
        <f>#REF!</f>
        <v>#REF!</v>
      </c>
      <c r="G138" t="e">
        <f>#REF!</f>
        <v>#REF!</v>
      </c>
      <c r="H138" t="e">
        <f>#REF!</f>
        <v>#REF!</v>
      </c>
      <c r="I138" t="e">
        <f>#REF!*#REF!</f>
        <v>#REF!</v>
      </c>
      <c r="J138" t="e">
        <f>#REF!</f>
        <v>#REF!</v>
      </c>
      <c r="K138" t="e">
        <f>#REF!</f>
        <v>#REF!</v>
      </c>
      <c r="L138" t="e">
        <f>#REF!</f>
        <v>#REF!</v>
      </c>
      <c r="M138" t="e">
        <f>ROUND(ROUND(L138*#REF!, 6)*1, 2)</f>
        <v>#REF!</v>
      </c>
      <c r="N138" t="e">
        <f>#REF!</f>
        <v>#REF!</v>
      </c>
      <c r="O138" t="e">
        <f>ROUND(ROUND(L138*#REF!, 6)*#REF!, 2)</f>
        <v>#REF!</v>
      </c>
      <c r="P138" t="e">
        <f>#REF!</f>
        <v>#REF!</v>
      </c>
      <c r="Q138" t="e">
        <f>#REF!</f>
        <v>#REF!</v>
      </c>
      <c r="R138" t="e">
        <f>ROUND(ROUND(Q138*#REF!, 6)*1, 2)</f>
        <v>#REF!</v>
      </c>
      <c r="S138" t="e">
        <f>#REF!</f>
        <v>#REF!</v>
      </c>
      <c r="T138" t="e">
        <f>ROUND(ROUND(Q138*#REF!, 6)*#REF!, 2)</f>
        <v>#REF!</v>
      </c>
      <c r="U138">
        <v>3</v>
      </c>
      <c r="Z138" t="e">
        <f>#REF!</f>
        <v>#REF!</v>
      </c>
      <c r="AA138">
        <v>-1923017736</v>
      </c>
      <c r="AB138">
        <v>-1923017736</v>
      </c>
    </row>
    <row r="139" spans="1:28" x14ac:dyDescent="0.25">
      <c r="A139">
        <v>20</v>
      </c>
      <c r="B139">
        <v>287</v>
      </c>
      <c r="C139">
        <v>3</v>
      </c>
      <c r="D139">
        <v>0</v>
      </c>
      <c r="E139" t="e">
        <f>#REF!</f>
        <v>#REF!</v>
      </c>
      <c r="F139" t="e">
        <f>#REF!</f>
        <v>#REF!</v>
      </c>
      <c r="G139" t="e">
        <f>#REF!</f>
        <v>#REF!</v>
      </c>
      <c r="H139" t="e">
        <f>#REF!</f>
        <v>#REF!</v>
      </c>
      <c r="I139" t="e">
        <f>#REF!*#REF!</f>
        <v>#REF!</v>
      </c>
      <c r="J139" t="e">
        <f>#REF!</f>
        <v>#REF!</v>
      </c>
      <c r="K139" t="e">
        <f>#REF!</f>
        <v>#REF!</v>
      </c>
      <c r="L139" t="e">
        <f>#REF!</f>
        <v>#REF!</v>
      </c>
      <c r="M139" t="e">
        <f>ROUND(ROUND(L139*#REF!, 6)*1, 2)</f>
        <v>#REF!</v>
      </c>
      <c r="N139" t="e">
        <f>#REF!</f>
        <v>#REF!</v>
      </c>
      <c r="O139" t="e">
        <f>ROUND(ROUND(L139*#REF!, 6)*#REF!, 2)</f>
        <v>#REF!</v>
      </c>
      <c r="P139" t="e">
        <f>#REF!</f>
        <v>#REF!</v>
      </c>
      <c r="Q139" t="e">
        <f>#REF!</f>
        <v>#REF!</v>
      </c>
      <c r="R139" t="e">
        <f>ROUND(ROUND(Q139*#REF!, 6)*1, 2)</f>
        <v>#REF!</v>
      </c>
      <c r="S139" t="e">
        <f>#REF!</f>
        <v>#REF!</v>
      </c>
      <c r="T139" t="e">
        <f>ROUND(ROUND(Q139*#REF!, 6)*#REF!, 2)</f>
        <v>#REF!</v>
      </c>
      <c r="U139">
        <v>3</v>
      </c>
      <c r="Z139" t="e">
        <f>#REF!</f>
        <v>#REF!</v>
      </c>
      <c r="AA139">
        <v>156568662</v>
      </c>
      <c r="AB139">
        <v>156568662</v>
      </c>
    </row>
    <row r="140" spans="1:28" x14ac:dyDescent="0.25">
      <c r="A140">
        <v>20</v>
      </c>
      <c r="B140">
        <v>297</v>
      </c>
      <c r="C140">
        <v>3</v>
      </c>
      <c r="D140">
        <v>0</v>
      </c>
      <c r="E140" t="e">
        <f>#REF!</f>
        <v>#REF!</v>
      </c>
      <c r="F140" t="e">
        <f>#REF!</f>
        <v>#REF!</v>
      </c>
      <c r="G140" t="e">
        <f>#REF!</f>
        <v>#REF!</v>
      </c>
      <c r="H140" t="e">
        <f>#REF!</f>
        <v>#REF!</v>
      </c>
      <c r="I140" t="e">
        <f>#REF!*#REF!</f>
        <v>#REF!</v>
      </c>
      <c r="J140" t="e">
        <f>#REF!</f>
        <v>#REF!</v>
      </c>
      <c r="K140" t="e">
        <f>#REF!</f>
        <v>#REF!</v>
      </c>
      <c r="L140" t="e">
        <f>#REF!</f>
        <v>#REF!</v>
      </c>
      <c r="M140" t="e">
        <f>ROUND(ROUND(L140*#REF!, 6)*1, 2)</f>
        <v>#REF!</v>
      </c>
      <c r="N140" t="e">
        <f>#REF!</f>
        <v>#REF!</v>
      </c>
      <c r="O140" t="e">
        <f>ROUND(ROUND(L140*#REF!, 6)*#REF!, 2)</f>
        <v>#REF!</v>
      </c>
      <c r="P140" t="e">
        <f>#REF!</f>
        <v>#REF!</v>
      </c>
      <c r="Q140" t="e">
        <f>#REF!</f>
        <v>#REF!</v>
      </c>
      <c r="R140" t="e">
        <f>ROUND(ROUND(Q140*#REF!, 6)*1, 2)</f>
        <v>#REF!</v>
      </c>
      <c r="S140" t="e">
        <f>#REF!</f>
        <v>#REF!</v>
      </c>
      <c r="T140" t="e">
        <f>ROUND(ROUND(Q140*#REF!, 6)*#REF!, 2)</f>
        <v>#REF!</v>
      </c>
      <c r="U140">
        <v>3</v>
      </c>
      <c r="Z140" t="e">
        <f>#REF!</f>
        <v>#REF!</v>
      </c>
      <c r="AA140">
        <v>1823916295</v>
      </c>
      <c r="AB140">
        <v>1823916295</v>
      </c>
    </row>
    <row r="141" spans="1:28" x14ac:dyDescent="0.25">
      <c r="A141">
        <v>20</v>
      </c>
      <c r="B141">
        <v>296</v>
      </c>
      <c r="C141">
        <v>3</v>
      </c>
      <c r="D141">
        <v>0</v>
      </c>
      <c r="E141" t="e">
        <f>#REF!</f>
        <v>#REF!</v>
      </c>
      <c r="F141" t="e">
        <f>#REF!</f>
        <v>#REF!</v>
      </c>
      <c r="G141" t="e">
        <f>#REF!</f>
        <v>#REF!</v>
      </c>
      <c r="H141" t="e">
        <f>#REF!</f>
        <v>#REF!</v>
      </c>
      <c r="I141" t="e">
        <f>#REF!*#REF!</f>
        <v>#REF!</v>
      </c>
      <c r="J141" t="e">
        <f>#REF!</f>
        <v>#REF!</v>
      </c>
      <c r="K141" t="e">
        <f>#REF!</f>
        <v>#REF!</v>
      </c>
      <c r="L141" t="e">
        <f>#REF!</f>
        <v>#REF!</v>
      </c>
      <c r="M141" t="e">
        <f>ROUND(ROUND(L141*#REF!, 6)*1, 2)</f>
        <v>#REF!</v>
      </c>
      <c r="N141" t="e">
        <f>#REF!</f>
        <v>#REF!</v>
      </c>
      <c r="O141" t="e">
        <f>ROUND(ROUND(L141*#REF!, 6)*#REF!, 2)</f>
        <v>#REF!</v>
      </c>
      <c r="P141" t="e">
        <f>#REF!</f>
        <v>#REF!</v>
      </c>
      <c r="Q141" t="e">
        <f>#REF!</f>
        <v>#REF!</v>
      </c>
      <c r="R141" t="e">
        <f>ROUND(ROUND(Q141*#REF!, 6)*1, 2)</f>
        <v>#REF!</v>
      </c>
      <c r="S141" t="e">
        <f>#REF!</f>
        <v>#REF!</v>
      </c>
      <c r="T141" t="e">
        <f>ROUND(ROUND(Q141*#REF!, 6)*#REF!, 2)</f>
        <v>#REF!</v>
      </c>
      <c r="U141">
        <v>3</v>
      </c>
      <c r="Z141" t="e">
        <f>#REF!</f>
        <v>#REF!</v>
      </c>
      <c r="AA141">
        <v>-1845018978</v>
      </c>
      <c r="AB141">
        <v>-1845018978</v>
      </c>
    </row>
    <row r="142" spans="1:28" x14ac:dyDescent="0.25">
      <c r="A142">
        <v>20</v>
      </c>
      <c r="B142">
        <v>307</v>
      </c>
      <c r="C142">
        <v>3</v>
      </c>
      <c r="D142">
        <v>0</v>
      </c>
      <c r="E142" t="e">
        <f>#REF!</f>
        <v>#REF!</v>
      </c>
      <c r="F142" t="e">
        <f>#REF!</f>
        <v>#REF!</v>
      </c>
      <c r="G142" t="e">
        <f>#REF!</f>
        <v>#REF!</v>
      </c>
      <c r="H142" t="e">
        <f>#REF!</f>
        <v>#REF!</v>
      </c>
      <c r="I142" t="e">
        <f>#REF!*#REF!</f>
        <v>#REF!</v>
      </c>
      <c r="J142" t="e">
        <f>#REF!</f>
        <v>#REF!</v>
      </c>
      <c r="K142" t="e">
        <f>#REF!</f>
        <v>#REF!</v>
      </c>
      <c r="L142" t="e">
        <f>#REF!</f>
        <v>#REF!</v>
      </c>
      <c r="M142" t="e">
        <f>ROUND(ROUND(L142*#REF!, 6)*1, 2)</f>
        <v>#REF!</v>
      </c>
      <c r="N142" t="e">
        <f>#REF!</f>
        <v>#REF!</v>
      </c>
      <c r="O142" t="e">
        <f>ROUND(ROUND(L142*#REF!, 6)*#REF!, 2)</f>
        <v>#REF!</v>
      </c>
      <c r="P142" t="e">
        <f>#REF!</f>
        <v>#REF!</v>
      </c>
      <c r="Q142" t="e">
        <f>#REF!</f>
        <v>#REF!</v>
      </c>
      <c r="R142" t="e">
        <f>ROUND(ROUND(Q142*#REF!, 6)*1, 2)</f>
        <v>#REF!</v>
      </c>
      <c r="S142" t="e">
        <f>#REF!</f>
        <v>#REF!</v>
      </c>
      <c r="T142" t="e">
        <f>ROUND(ROUND(Q142*#REF!, 6)*#REF!, 2)</f>
        <v>#REF!</v>
      </c>
      <c r="U142">
        <v>3</v>
      </c>
      <c r="Z142" t="e">
        <f>#REF!</f>
        <v>#REF!</v>
      </c>
      <c r="AA142">
        <v>881484891</v>
      </c>
      <c r="AB142">
        <v>881484891</v>
      </c>
    </row>
    <row r="143" spans="1:28" x14ac:dyDescent="0.25">
      <c r="A143">
        <v>20</v>
      </c>
      <c r="B143">
        <v>306</v>
      </c>
      <c r="C143">
        <v>3</v>
      </c>
      <c r="D143">
        <v>0</v>
      </c>
      <c r="E143" t="e">
        <f>#REF!</f>
        <v>#REF!</v>
      </c>
      <c r="F143" t="e">
        <f>#REF!</f>
        <v>#REF!</v>
      </c>
      <c r="G143" t="e">
        <f>#REF!</f>
        <v>#REF!</v>
      </c>
      <c r="H143" t="e">
        <f>#REF!</f>
        <v>#REF!</v>
      </c>
      <c r="I143" t="e">
        <f>#REF!*#REF!</f>
        <v>#REF!</v>
      </c>
      <c r="J143" t="e">
        <f>#REF!</f>
        <v>#REF!</v>
      </c>
      <c r="K143" t="e">
        <f>#REF!</f>
        <v>#REF!</v>
      </c>
      <c r="L143" t="e">
        <f>#REF!</f>
        <v>#REF!</v>
      </c>
      <c r="M143" t="e">
        <f>ROUND(ROUND(L143*#REF!, 6)*1, 2)</f>
        <v>#REF!</v>
      </c>
      <c r="N143" t="e">
        <f>#REF!</f>
        <v>#REF!</v>
      </c>
      <c r="O143" t="e">
        <f>ROUND(ROUND(L143*#REF!, 6)*#REF!, 2)</f>
        <v>#REF!</v>
      </c>
      <c r="P143" t="e">
        <f>#REF!</f>
        <v>#REF!</v>
      </c>
      <c r="Q143" t="e">
        <f>#REF!</f>
        <v>#REF!</v>
      </c>
      <c r="R143" t="e">
        <f>ROUND(ROUND(Q143*#REF!, 6)*1, 2)</f>
        <v>#REF!</v>
      </c>
      <c r="S143" t="e">
        <f>#REF!</f>
        <v>#REF!</v>
      </c>
      <c r="T143" t="e">
        <f>ROUND(ROUND(Q143*#REF!, 6)*#REF!, 2)</f>
        <v>#REF!</v>
      </c>
      <c r="U143">
        <v>3</v>
      </c>
      <c r="Z143" t="e">
        <f>#REF!</f>
        <v>#REF!</v>
      </c>
      <c r="AA143">
        <v>-1356294715</v>
      </c>
      <c r="AB143">
        <v>-1356294715</v>
      </c>
    </row>
    <row r="144" spans="1:28" x14ac:dyDescent="0.25">
      <c r="A144">
        <v>20</v>
      </c>
      <c r="B144">
        <v>305</v>
      </c>
      <c r="C144">
        <v>3</v>
      </c>
      <c r="D144">
        <v>0</v>
      </c>
      <c r="E144" t="e">
        <f>#REF!</f>
        <v>#REF!</v>
      </c>
      <c r="F144" t="e">
        <f>#REF!</f>
        <v>#REF!</v>
      </c>
      <c r="G144" t="e">
        <f>#REF!</f>
        <v>#REF!</v>
      </c>
      <c r="H144" t="e">
        <f>#REF!</f>
        <v>#REF!</v>
      </c>
      <c r="I144" t="e">
        <f>#REF!*#REF!</f>
        <v>#REF!</v>
      </c>
      <c r="J144" t="e">
        <f>#REF!</f>
        <v>#REF!</v>
      </c>
      <c r="K144" t="e">
        <f>#REF!</f>
        <v>#REF!</v>
      </c>
      <c r="L144" t="e">
        <f>#REF!</f>
        <v>#REF!</v>
      </c>
      <c r="M144" t="e">
        <f>ROUND(ROUND(L144*#REF!, 6)*1, 2)</f>
        <v>#REF!</v>
      </c>
      <c r="N144" t="e">
        <f>#REF!</f>
        <v>#REF!</v>
      </c>
      <c r="O144" t="e">
        <f>ROUND(ROUND(L144*#REF!, 6)*#REF!, 2)</f>
        <v>#REF!</v>
      </c>
      <c r="P144" t="e">
        <f>#REF!</f>
        <v>#REF!</v>
      </c>
      <c r="Q144" t="e">
        <f>#REF!</f>
        <v>#REF!</v>
      </c>
      <c r="R144" t="e">
        <f>ROUND(ROUND(Q144*#REF!, 6)*1, 2)</f>
        <v>#REF!</v>
      </c>
      <c r="S144" t="e">
        <f>#REF!</f>
        <v>#REF!</v>
      </c>
      <c r="T144" t="e">
        <f>ROUND(ROUND(Q144*#REF!, 6)*#REF!, 2)</f>
        <v>#REF!</v>
      </c>
      <c r="U144">
        <v>3</v>
      </c>
      <c r="Z144" t="e">
        <f>#REF!</f>
        <v>#REF!</v>
      </c>
      <c r="AA144">
        <v>821945716</v>
      </c>
      <c r="AB144">
        <v>821945716</v>
      </c>
    </row>
    <row r="145" spans="1:28" x14ac:dyDescent="0.25">
      <c r="A145">
        <v>20</v>
      </c>
      <c r="B145">
        <v>304</v>
      </c>
      <c r="C145">
        <v>3</v>
      </c>
      <c r="D145">
        <v>0</v>
      </c>
      <c r="E145" t="e">
        <f>#REF!</f>
        <v>#REF!</v>
      </c>
      <c r="F145" t="e">
        <f>#REF!</f>
        <v>#REF!</v>
      </c>
      <c r="G145" t="e">
        <f>#REF!</f>
        <v>#REF!</v>
      </c>
      <c r="H145" t="e">
        <f>#REF!</f>
        <v>#REF!</v>
      </c>
      <c r="I145" t="e">
        <f>#REF!*#REF!</f>
        <v>#REF!</v>
      </c>
      <c r="J145" t="e">
        <f>#REF!</f>
        <v>#REF!</v>
      </c>
      <c r="K145" t="e">
        <f>#REF!</f>
        <v>#REF!</v>
      </c>
      <c r="L145" t="e">
        <f>#REF!</f>
        <v>#REF!</v>
      </c>
      <c r="M145" t="e">
        <f>ROUND(ROUND(L145*#REF!, 6)*1, 2)</f>
        <v>#REF!</v>
      </c>
      <c r="N145" t="e">
        <f>#REF!</f>
        <v>#REF!</v>
      </c>
      <c r="O145" t="e">
        <f>ROUND(ROUND(L145*#REF!, 6)*#REF!, 2)</f>
        <v>#REF!</v>
      </c>
      <c r="P145" t="e">
        <f>#REF!</f>
        <v>#REF!</v>
      </c>
      <c r="Q145" t="e">
        <f>#REF!</f>
        <v>#REF!</v>
      </c>
      <c r="R145" t="e">
        <f>ROUND(ROUND(Q145*#REF!, 6)*1, 2)</f>
        <v>#REF!</v>
      </c>
      <c r="S145" t="e">
        <f>#REF!</f>
        <v>#REF!</v>
      </c>
      <c r="T145" t="e">
        <f>ROUND(ROUND(Q145*#REF!, 6)*#REF!, 2)</f>
        <v>#REF!</v>
      </c>
      <c r="U145">
        <v>3</v>
      </c>
      <c r="Z145" t="e">
        <f>#REF!</f>
        <v>#REF!</v>
      </c>
      <c r="AA145">
        <v>510775287</v>
      </c>
      <c r="AB145">
        <v>510775287</v>
      </c>
    </row>
    <row r="146" spans="1:28" x14ac:dyDescent="0.25">
      <c r="A146">
        <v>20</v>
      </c>
      <c r="B146">
        <v>303</v>
      </c>
      <c r="C146">
        <v>3</v>
      </c>
      <c r="D146">
        <v>0</v>
      </c>
      <c r="E146" t="e">
        <f>#REF!</f>
        <v>#REF!</v>
      </c>
      <c r="F146" t="e">
        <f>#REF!</f>
        <v>#REF!</v>
      </c>
      <c r="G146" t="e">
        <f>#REF!</f>
        <v>#REF!</v>
      </c>
      <c r="H146" t="e">
        <f>#REF!</f>
        <v>#REF!</v>
      </c>
      <c r="I146" t="e">
        <f>#REF!*#REF!</f>
        <v>#REF!</v>
      </c>
      <c r="J146" t="e">
        <f>#REF!</f>
        <v>#REF!</v>
      </c>
      <c r="K146" t="e">
        <f>#REF!</f>
        <v>#REF!</v>
      </c>
      <c r="L146" t="e">
        <f>#REF!</f>
        <v>#REF!</v>
      </c>
      <c r="M146" t="e">
        <f>ROUND(ROUND(L146*#REF!, 6)*1, 2)</f>
        <v>#REF!</v>
      </c>
      <c r="N146" t="e">
        <f>#REF!</f>
        <v>#REF!</v>
      </c>
      <c r="O146" t="e">
        <f>ROUND(ROUND(L146*#REF!, 6)*#REF!, 2)</f>
        <v>#REF!</v>
      </c>
      <c r="P146" t="e">
        <f>#REF!</f>
        <v>#REF!</v>
      </c>
      <c r="Q146" t="e">
        <f>#REF!</f>
        <v>#REF!</v>
      </c>
      <c r="R146" t="e">
        <f>ROUND(ROUND(Q146*#REF!, 6)*1, 2)</f>
        <v>#REF!</v>
      </c>
      <c r="S146" t="e">
        <f>#REF!</f>
        <v>#REF!</v>
      </c>
      <c r="T146" t="e">
        <f>ROUND(ROUND(Q146*#REF!, 6)*#REF!, 2)</f>
        <v>#REF!</v>
      </c>
      <c r="U146">
        <v>3</v>
      </c>
      <c r="Z146" t="e">
        <f>#REF!</f>
        <v>#REF!</v>
      </c>
      <c r="AA146">
        <v>-679251165</v>
      </c>
      <c r="AB146">
        <v>-679251165</v>
      </c>
    </row>
    <row r="147" spans="1:28" x14ac:dyDescent="0.25">
      <c r="A147">
        <v>20</v>
      </c>
      <c r="B147">
        <v>302</v>
      </c>
      <c r="C147">
        <v>3</v>
      </c>
      <c r="D147">
        <v>0</v>
      </c>
      <c r="E147" t="e">
        <f>#REF!</f>
        <v>#REF!</v>
      </c>
      <c r="F147" t="e">
        <f>#REF!</f>
        <v>#REF!</v>
      </c>
      <c r="G147" t="e">
        <f>#REF!</f>
        <v>#REF!</v>
      </c>
      <c r="H147" t="e">
        <f>#REF!</f>
        <v>#REF!</v>
      </c>
      <c r="I147" t="e">
        <f>#REF!*#REF!</f>
        <v>#REF!</v>
      </c>
      <c r="J147" t="e">
        <f>#REF!</f>
        <v>#REF!</v>
      </c>
      <c r="K147" t="e">
        <f>#REF!</f>
        <v>#REF!</v>
      </c>
      <c r="L147" t="e">
        <f>#REF!</f>
        <v>#REF!</v>
      </c>
      <c r="M147" t="e">
        <f>ROUND(ROUND(L147*#REF!, 6)*1, 2)</f>
        <v>#REF!</v>
      </c>
      <c r="N147" t="e">
        <f>#REF!</f>
        <v>#REF!</v>
      </c>
      <c r="O147" t="e">
        <f>ROUND(ROUND(L147*#REF!, 6)*#REF!, 2)</f>
        <v>#REF!</v>
      </c>
      <c r="P147" t="e">
        <f>#REF!</f>
        <v>#REF!</v>
      </c>
      <c r="Q147" t="e">
        <f>#REF!</f>
        <v>#REF!</v>
      </c>
      <c r="R147" t="e">
        <f>ROUND(ROUND(Q147*#REF!, 6)*1, 2)</f>
        <v>#REF!</v>
      </c>
      <c r="S147" t="e">
        <f>#REF!</f>
        <v>#REF!</v>
      </c>
      <c r="T147" t="e">
        <f>ROUND(ROUND(Q147*#REF!, 6)*#REF!, 2)</f>
        <v>#REF!</v>
      </c>
      <c r="U147">
        <v>3</v>
      </c>
      <c r="Z147" t="e">
        <f>#REF!</f>
        <v>#REF!</v>
      </c>
      <c r="AA147">
        <v>469597481</v>
      </c>
      <c r="AB147">
        <v>469597481</v>
      </c>
    </row>
    <row r="148" spans="1:28" x14ac:dyDescent="0.25">
      <c r="A148">
        <v>20</v>
      </c>
      <c r="B148">
        <v>301</v>
      </c>
      <c r="C148">
        <v>3</v>
      </c>
      <c r="D148">
        <v>0</v>
      </c>
      <c r="E148" t="e">
        <f>#REF!</f>
        <v>#REF!</v>
      </c>
      <c r="F148" t="e">
        <f>#REF!</f>
        <v>#REF!</v>
      </c>
      <c r="G148" t="e">
        <f>#REF!</f>
        <v>#REF!</v>
      </c>
      <c r="H148" t="e">
        <f>#REF!</f>
        <v>#REF!</v>
      </c>
      <c r="I148" t="e">
        <f>#REF!*#REF!</f>
        <v>#REF!</v>
      </c>
      <c r="J148" t="e">
        <f>#REF!</f>
        <v>#REF!</v>
      </c>
      <c r="K148" t="e">
        <f>#REF!</f>
        <v>#REF!</v>
      </c>
      <c r="L148" t="e">
        <f>#REF!</f>
        <v>#REF!</v>
      </c>
      <c r="M148" t="e">
        <f>ROUND(ROUND(L148*#REF!, 6)*1, 2)</f>
        <v>#REF!</v>
      </c>
      <c r="N148" t="e">
        <f>#REF!</f>
        <v>#REF!</v>
      </c>
      <c r="O148" t="e">
        <f>ROUND(ROUND(L148*#REF!, 6)*#REF!, 2)</f>
        <v>#REF!</v>
      </c>
      <c r="P148" t="e">
        <f>#REF!</f>
        <v>#REF!</v>
      </c>
      <c r="Q148" t="e">
        <f>#REF!</f>
        <v>#REF!</v>
      </c>
      <c r="R148" t="e">
        <f>ROUND(ROUND(Q148*#REF!, 6)*1, 2)</f>
        <v>#REF!</v>
      </c>
      <c r="S148" t="e">
        <f>#REF!</f>
        <v>#REF!</v>
      </c>
      <c r="T148" t="e">
        <f>ROUND(ROUND(Q148*#REF!, 6)*#REF!, 2)</f>
        <v>#REF!</v>
      </c>
      <c r="U148">
        <v>3</v>
      </c>
      <c r="Z148" t="e">
        <f>#REF!</f>
        <v>#REF!</v>
      </c>
      <c r="AA148">
        <v>1976285949</v>
      </c>
      <c r="AB148">
        <v>1976285949</v>
      </c>
    </row>
    <row r="149" spans="1:28" x14ac:dyDescent="0.25">
      <c r="A149">
        <v>20</v>
      </c>
      <c r="B149">
        <v>312</v>
      </c>
      <c r="C149">
        <v>3</v>
      </c>
      <c r="D149">
        <v>0</v>
      </c>
      <c r="E149" t="e">
        <f>#REF!</f>
        <v>#REF!</v>
      </c>
      <c r="F149" t="e">
        <f>#REF!</f>
        <v>#REF!</v>
      </c>
      <c r="G149" t="e">
        <f>#REF!</f>
        <v>#REF!</v>
      </c>
      <c r="H149" t="e">
        <f>#REF!</f>
        <v>#REF!</v>
      </c>
      <c r="I149" t="e">
        <f>#REF!*#REF!</f>
        <v>#REF!</v>
      </c>
      <c r="J149" t="e">
        <f>#REF!</f>
        <v>#REF!</v>
      </c>
      <c r="K149" t="e">
        <f>#REF!</f>
        <v>#REF!</v>
      </c>
      <c r="L149" t="e">
        <f>#REF!</f>
        <v>#REF!</v>
      </c>
      <c r="M149" t="e">
        <f>ROUND(ROUND(L149*#REF!, 6)*1, 2)</f>
        <v>#REF!</v>
      </c>
      <c r="N149" t="e">
        <f>#REF!</f>
        <v>#REF!</v>
      </c>
      <c r="O149" t="e">
        <f>ROUND(ROUND(L149*#REF!, 6)*#REF!, 2)</f>
        <v>#REF!</v>
      </c>
      <c r="P149" t="e">
        <f>#REF!</f>
        <v>#REF!</v>
      </c>
      <c r="Q149" t="e">
        <f>#REF!</f>
        <v>#REF!</v>
      </c>
      <c r="R149" t="e">
        <f>ROUND(ROUND(Q149*#REF!, 6)*1, 2)</f>
        <v>#REF!</v>
      </c>
      <c r="S149" t="e">
        <f>#REF!</f>
        <v>#REF!</v>
      </c>
      <c r="T149" t="e">
        <f>ROUND(ROUND(Q149*#REF!, 6)*#REF!, 2)</f>
        <v>#REF!</v>
      </c>
      <c r="U149">
        <v>3</v>
      </c>
      <c r="Z149" t="e">
        <f>#REF!</f>
        <v>#REF!</v>
      </c>
      <c r="AA149">
        <v>2123413243</v>
      </c>
      <c r="AB149">
        <v>2123413243</v>
      </c>
    </row>
    <row r="150" spans="1:28" x14ac:dyDescent="0.25">
      <c r="A150">
        <v>20</v>
      </c>
      <c r="B150">
        <v>311</v>
      </c>
      <c r="C150">
        <v>3</v>
      </c>
      <c r="D150">
        <v>0</v>
      </c>
      <c r="E150" t="e">
        <f>#REF!</f>
        <v>#REF!</v>
      </c>
      <c r="F150" t="e">
        <f>#REF!</f>
        <v>#REF!</v>
      </c>
      <c r="G150" t="e">
        <f>#REF!</f>
        <v>#REF!</v>
      </c>
      <c r="H150" t="e">
        <f>#REF!</f>
        <v>#REF!</v>
      </c>
      <c r="I150" t="e">
        <f>#REF!*#REF!</f>
        <v>#REF!</v>
      </c>
      <c r="J150" t="e">
        <f>#REF!</f>
        <v>#REF!</v>
      </c>
      <c r="K150" t="e">
        <f>#REF!</f>
        <v>#REF!</v>
      </c>
      <c r="L150" t="e">
        <f>#REF!</f>
        <v>#REF!</v>
      </c>
      <c r="M150" t="e">
        <f>ROUND(ROUND(L150*#REF!, 6)*1, 2)</f>
        <v>#REF!</v>
      </c>
      <c r="N150" t="e">
        <f>#REF!</f>
        <v>#REF!</v>
      </c>
      <c r="O150" t="e">
        <f>ROUND(ROUND(L150*#REF!, 6)*#REF!, 2)</f>
        <v>#REF!</v>
      </c>
      <c r="P150" t="e">
        <f>#REF!</f>
        <v>#REF!</v>
      </c>
      <c r="Q150" t="e">
        <f>#REF!</f>
        <v>#REF!</v>
      </c>
      <c r="R150" t="e">
        <f>ROUND(ROUND(Q150*#REF!, 6)*1, 2)</f>
        <v>#REF!</v>
      </c>
      <c r="S150" t="e">
        <f>#REF!</f>
        <v>#REF!</v>
      </c>
      <c r="T150" t="e">
        <f>ROUND(ROUND(Q150*#REF!, 6)*#REF!, 2)</f>
        <v>#REF!</v>
      </c>
      <c r="U150">
        <v>3</v>
      </c>
      <c r="Z150" t="e">
        <f>#REF!</f>
        <v>#REF!</v>
      </c>
      <c r="AA150">
        <v>-519715187</v>
      </c>
      <c r="AB150">
        <v>-519715187</v>
      </c>
    </row>
    <row r="151" spans="1:28" x14ac:dyDescent="0.25">
      <c r="A151" t="e">
        <f>#REF!</f>
        <v>#REF!</v>
      </c>
      <c r="B151">
        <v>261</v>
      </c>
      <c r="G151" t="e">
        <f>#REF!</f>
        <v>#REF!</v>
      </c>
    </row>
    <row r="152" spans="1:28" x14ac:dyDescent="0.25">
      <c r="A152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Q132"/>
  <sheetViews>
    <sheetView workbookViewId="0">
      <selection activeCell="A10" sqref="A10:F10"/>
    </sheetView>
  </sheetViews>
  <sheetFormatPr defaultRowHeight="13.2" x14ac:dyDescent="0.25"/>
  <cols>
    <col min="1" max="1" width="18.5546875" customWidth="1"/>
    <col min="2" max="2" width="40.5546875" customWidth="1"/>
    <col min="3" max="6" width="12.5546875" customWidth="1"/>
    <col min="15" max="15" width="109.5546875" hidden="1" customWidth="1"/>
    <col min="16" max="18" width="0" hidden="1" customWidth="1"/>
  </cols>
  <sheetData>
    <row r="2" spans="1:17" ht="16.8" x14ac:dyDescent="0.25">
      <c r="A2" s="71" t="s">
        <v>378</v>
      </c>
      <c r="B2" s="72"/>
      <c r="C2" s="72"/>
      <c r="D2" s="72"/>
      <c r="E2" s="72"/>
      <c r="F2" s="72"/>
    </row>
    <row r="3" spans="1:17" ht="49.95" customHeight="1" x14ac:dyDescent="0.25">
      <c r="A3" s="71" t="s">
        <v>389</v>
      </c>
      <c r="B3" s="72"/>
      <c r="C3" s="72"/>
      <c r="D3" s="72"/>
      <c r="E3" s="72"/>
      <c r="F3" s="72"/>
      <c r="O3" s="38" t="s">
        <v>379</v>
      </c>
    </row>
    <row r="4" spans="1:17" x14ac:dyDescent="0.25">
      <c r="A4" s="55" t="s">
        <v>380</v>
      </c>
      <c r="B4" s="55" t="s">
        <v>381</v>
      </c>
      <c r="C4" s="55" t="s">
        <v>299</v>
      </c>
      <c r="D4" s="55" t="s">
        <v>382</v>
      </c>
      <c r="E4" s="74" t="s">
        <v>383</v>
      </c>
      <c r="F4" s="75"/>
    </row>
    <row r="5" spans="1:17" x14ac:dyDescent="0.25">
      <c r="A5" s="56"/>
      <c r="B5" s="56"/>
      <c r="C5" s="56"/>
      <c r="D5" s="56"/>
      <c r="E5" s="76"/>
      <c r="F5" s="77"/>
    </row>
    <row r="6" spans="1:17" ht="13.8" x14ac:dyDescent="0.25">
      <c r="A6" s="73"/>
      <c r="B6" s="73"/>
      <c r="C6" s="73"/>
      <c r="D6" s="73"/>
      <c r="E6" s="11" t="s">
        <v>384</v>
      </c>
      <c r="F6" s="11" t="s">
        <v>385</v>
      </c>
    </row>
    <row r="7" spans="1:17" ht="13.8" x14ac:dyDescent="0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</row>
    <row r="8" spans="1:17" ht="33.6" x14ac:dyDescent="0.25">
      <c r="A8" s="71" t="s">
        <v>390</v>
      </c>
      <c r="B8" s="72"/>
      <c r="C8" s="72"/>
      <c r="D8" s="72"/>
      <c r="E8" s="72"/>
      <c r="F8" s="72"/>
      <c r="O8" s="38" t="s">
        <v>386</v>
      </c>
    </row>
    <row r="9" spans="1:17" ht="16.8" x14ac:dyDescent="0.25">
      <c r="A9" s="71" t="s">
        <v>391</v>
      </c>
      <c r="B9" s="72"/>
      <c r="C9" s="72"/>
      <c r="D9" s="72"/>
      <c r="E9" s="72"/>
      <c r="F9" s="72"/>
    </row>
    <row r="10" spans="1:17" ht="16.8" x14ac:dyDescent="0.25">
      <c r="A10" s="71" t="s">
        <v>392</v>
      </c>
      <c r="B10" s="72"/>
      <c r="C10" s="72"/>
      <c r="D10" s="72"/>
      <c r="E10" s="72"/>
      <c r="F10" s="72"/>
    </row>
    <row r="11" spans="1:17" ht="13.8" x14ac:dyDescent="0.25">
      <c r="A11" s="78" t="s">
        <v>387</v>
      </c>
      <c r="B11" s="79"/>
      <c r="C11" s="79"/>
      <c r="D11" s="79"/>
      <c r="E11" s="79"/>
      <c r="F11" s="79"/>
    </row>
    <row r="12" spans="1:17" ht="27.6" x14ac:dyDescent="0.25">
      <c r="A12" s="39" t="s">
        <v>149</v>
      </c>
      <c r="B12" s="31" t="s">
        <v>150</v>
      </c>
      <c r="C12" s="31" t="s">
        <v>30</v>
      </c>
      <c r="D12" s="32">
        <v>7.4400000000000004E-3</v>
      </c>
      <c r="E12" s="40">
        <v>107326.34</v>
      </c>
      <c r="F12" s="40">
        <v>798.51</v>
      </c>
      <c r="Q12">
        <v>3</v>
      </c>
    </row>
    <row r="13" spans="1:17" ht="27.6" x14ac:dyDescent="0.25">
      <c r="A13" s="39" t="s">
        <v>151</v>
      </c>
      <c r="B13" s="31" t="s">
        <v>152</v>
      </c>
      <c r="C13" s="31" t="s">
        <v>30</v>
      </c>
      <c r="D13" s="32">
        <v>0.22816</v>
      </c>
      <c r="E13" s="40">
        <v>89713.600000000006</v>
      </c>
      <c r="F13" s="40">
        <v>20469.05</v>
      </c>
      <c r="Q13">
        <v>3</v>
      </c>
    </row>
    <row r="14" spans="1:17" ht="13.8" x14ac:dyDescent="0.25">
      <c r="A14" s="39" t="s">
        <v>153</v>
      </c>
      <c r="B14" s="31" t="s">
        <v>154</v>
      </c>
      <c r="C14" s="31" t="s">
        <v>30</v>
      </c>
      <c r="D14" s="32">
        <v>4.96E-3</v>
      </c>
      <c r="E14" s="40">
        <v>92962.57</v>
      </c>
      <c r="F14" s="40">
        <v>461.09</v>
      </c>
      <c r="Q14">
        <v>3</v>
      </c>
    </row>
    <row r="15" spans="1:17" ht="13.8" x14ac:dyDescent="0.25">
      <c r="A15" s="39" t="s">
        <v>137</v>
      </c>
      <c r="B15" s="31" t="s">
        <v>138</v>
      </c>
      <c r="C15" s="31" t="s">
        <v>134</v>
      </c>
      <c r="D15" s="32">
        <v>5.5624700000000002</v>
      </c>
      <c r="E15" s="40">
        <v>35.08</v>
      </c>
      <c r="F15" s="40">
        <v>195.09</v>
      </c>
      <c r="Q15">
        <v>3</v>
      </c>
    </row>
    <row r="16" spans="1:17" ht="13.8" x14ac:dyDescent="0.25">
      <c r="A16" s="39" t="s">
        <v>130</v>
      </c>
      <c r="B16" s="31" t="s">
        <v>131</v>
      </c>
      <c r="C16" s="31" t="s">
        <v>24</v>
      </c>
      <c r="D16" s="32">
        <v>1.4741420000000001</v>
      </c>
      <c r="E16" s="40">
        <v>54.81</v>
      </c>
      <c r="F16" s="40">
        <v>80.790000000000006</v>
      </c>
      <c r="Q16">
        <v>3</v>
      </c>
    </row>
    <row r="17" spans="1:17" ht="13.8" x14ac:dyDescent="0.25">
      <c r="A17" s="39" t="s">
        <v>139</v>
      </c>
      <c r="B17" s="31" t="s">
        <v>140</v>
      </c>
      <c r="C17" s="31" t="s">
        <v>30</v>
      </c>
      <c r="D17" s="32">
        <v>3.2560000000000002E-3</v>
      </c>
      <c r="E17" s="40">
        <v>2544.62</v>
      </c>
      <c r="F17" s="40">
        <v>8.2799999999999994</v>
      </c>
      <c r="Q17">
        <v>3</v>
      </c>
    </row>
    <row r="18" spans="1:17" ht="13.8" x14ac:dyDescent="0.25">
      <c r="A18" s="39" t="s">
        <v>141</v>
      </c>
      <c r="B18" s="31" t="s">
        <v>142</v>
      </c>
      <c r="C18" s="31" t="s">
        <v>30</v>
      </c>
      <c r="D18" s="32">
        <v>0.162804</v>
      </c>
      <c r="E18" s="40">
        <v>337919.86</v>
      </c>
      <c r="F18" s="40">
        <v>55014.73</v>
      </c>
      <c r="Q18">
        <v>3</v>
      </c>
    </row>
    <row r="19" spans="1:17" ht="27.6" x14ac:dyDescent="0.25">
      <c r="A19" s="39" t="s">
        <v>143</v>
      </c>
      <c r="B19" s="31" t="s">
        <v>144</v>
      </c>
      <c r="C19" s="31" t="s">
        <v>30</v>
      </c>
      <c r="D19" s="32">
        <v>0.13567000000000001</v>
      </c>
      <c r="E19" s="40">
        <v>69090.16</v>
      </c>
      <c r="F19" s="40">
        <v>9373.44</v>
      </c>
      <c r="Q19">
        <v>3</v>
      </c>
    </row>
    <row r="20" spans="1:17" ht="13.8" x14ac:dyDescent="0.25">
      <c r="A20" s="39" t="s">
        <v>145</v>
      </c>
      <c r="B20" s="31" t="s">
        <v>146</v>
      </c>
      <c r="C20" s="31" t="s">
        <v>30</v>
      </c>
      <c r="D20" s="32">
        <v>0.20350499999999999</v>
      </c>
      <c r="E20" s="40">
        <v>206096.25</v>
      </c>
      <c r="F20" s="40">
        <v>41941.57</v>
      </c>
      <c r="Q20">
        <v>3</v>
      </c>
    </row>
    <row r="21" spans="1:17" ht="27.6" x14ac:dyDescent="0.25">
      <c r="A21" s="39" t="s">
        <v>147</v>
      </c>
      <c r="B21" s="31" t="s">
        <v>148</v>
      </c>
      <c r="C21" s="31" t="s">
        <v>30</v>
      </c>
      <c r="D21" s="32">
        <v>0.80045299999999997</v>
      </c>
      <c r="E21" s="40">
        <v>145683.25</v>
      </c>
      <c r="F21" s="40">
        <v>116612.57</v>
      </c>
      <c r="Q21">
        <v>3</v>
      </c>
    </row>
    <row r="22" spans="1:17" ht="69" x14ac:dyDescent="0.25">
      <c r="A22" s="39" t="s">
        <v>132</v>
      </c>
      <c r="B22" s="31" t="s">
        <v>133</v>
      </c>
      <c r="C22" s="31" t="s">
        <v>134</v>
      </c>
      <c r="D22" s="32">
        <v>118.07199</v>
      </c>
      <c r="E22" s="40">
        <v>451.96</v>
      </c>
      <c r="F22" s="40">
        <v>53363.8</v>
      </c>
      <c r="Q22">
        <v>3</v>
      </c>
    </row>
    <row r="23" spans="1:17" ht="27.6" x14ac:dyDescent="0.25">
      <c r="A23" s="39" t="s">
        <v>124</v>
      </c>
      <c r="B23" s="31" t="s">
        <v>125</v>
      </c>
      <c r="C23" s="31" t="s">
        <v>24</v>
      </c>
      <c r="D23" s="32">
        <v>7.6413999999999996E-2</v>
      </c>
      <c r="E23" s="40">
        <v>12108.77</v>
      </c>
      <c r="F23" s="40">
        <v>925.21</v>
      </c>
      <c r="Q23">
        <v>3</v>
      </c>
    </row>
    <row r="24" spans="1:17" ht="27.6" x14ac:dyDescent="0.25">
      <c r="A24" s="39" t="s">
        <v>126</v>
      </c>
      <c r="B24" s="31" t="s">
        <v>127</v>
      </c>
      <c r="C24" s="31" t="s">
        <v>24</v>
      </c>
      <c r="D24" s="32">
        <v>3.8206999999999998E-2</v>
      </c>
      <c r="E24" s="40">
        <v>12687.58</v>
      </c>
      <c r="F24" s="40">
        <v>484.77</v>
      </c>
      <c r="Q24">
        <v>3</v>
      </c>
    </row>
    <row r="25" spans="1:17" ht="27.6" x14ac:dyDescent="0.25">
      <c r="A25" s="39" t="s">
        <v>128</v>
      </c>
      <c r="B25" s="31" t="s">
        <v>129</v>
      </c>
      <c r="C25" s="31" t="s">
        <v>24</v>
      </c>
      <c r="D25" s="32">
        <v>28.919504</v>
      </c>
      <c r="E25" s="40">
        <v>5838.86</v>
      </c>
      <c r="F25" s="40">
        <v>168856.98</v>
      </c>
      <c r="Q25">
        <v>3</v>
      </c>
    </row>
    <row r="26" spans="1:17" ht="55.2" x14ac:dyDescent="0.25">
      <c r="A26" s="39" t="s">
        <v>135</v>
      </c>
      <c r="B26" s="31" t="s">
        <v>136</v>
      </c>
      <c r="C26" s="31" t="s">
        <v>30</v>
      </c>
      <c r="D26" s="32">
        <v>8.2053220000000007</v>
      </c>
      <c r="E26" s="40">
        <v>10205.959999999999</v>
      </c>
      <c r="F26" s="40">
        <v>83743.12</v>
      </c>
      <c r="Q26">
        <v>3</v>
      </c>
    </row>
    <row r="27" spans="1:17" ht="13.8" x14ac:dyDescent="0.25">
      <c r="A27" s="80" t="s">
        <v>388</v>
      </c>
      <c r="B27" s="80"/>
      <c r="C27" s="80"/>
      <c r="D27" s="80"/>
      <c r="E27" s="81">
        <v>552329.00000000012</v>
      </c>
      <c r="F27" s="81"/>
    </row>
    <row r="28" spans="1:17" ht="16.8" x14ac:dyDescent="0.25">
      <c r="A28" s="71" t="s">
        <v>393</v>
      </c>
      <c r="B28" s="72"/>
      <c r="C28" s="72"/>
      <c r="D28" s="72"/>
      <c r="E28" s="72"/>
      <c r="F28" s="72"/>
    </row>
    <row r="29" spans="1:17" ht="13.8" x14ac:dyDescent="0.25">
      <c r="A29" s="78" t="s">
        <v>387</v>
      </c>
      <c r="B29" s="79"/>
      <c r="C29" s="79"/>
      <c r="D29" s="79"/>
      <c r="E29" s="79"/>
      <c r="F29" s="79"/>
    </row>
    <row r="30" spans="1:17" ht="27.6" x14ac:dyDescent="0.25">
      <c r="A30" s="39" t="s">
        <v>159</v>
      </c>
      <c r="B30" s="31" t="s">
        <v>160</v>
      </c>
      <c r="C30" s="31" t="s">
        <v>30</v>
      </c>
      <c r="D30" s="32">
        <v>6.7000000000000002E-5</v>
      </c>
      <c r="E30" s="40">
        <v>87986.83</v>
      </c>
      <c r="F30" s="40">
        <v>5.91</v>
      </c>
      <c r="Q30">
        <v>3</v>
      </c>
    </row>
    <row r="31" spans="1:17" ht="55.2" x14ac:dyDescent="0.25">
      <c r="A31" s="39" t="s">
        <v>177</v>
      </c>
      <c r="B31" s="31" t="s">
        <v>178</v>
      </c>
      <c r="C31" s="31" t="s">
        <v>179</v>
      </c>
      <c r="D31" s="32">
        <v>0.59340000000000004</v>
      </c>
      <c r="E31" s="40">
        <v>103.79</v>
      </c>
      <c r="F31" s="40">
        <v>61.59</v>
      </c>
      <c r="Q31">
        <v>3</v>
      </c>
    </row>
    <row r="32" spans="1:17" ht="55.2" x14ac:dyDescent="0.25">
      <c r="A32" s="39" t="s">
        <v>180</v>
      </c>
      <c r="B32" s="31" t="s">
        <v>181</v>
      </c>
      <c r="C32" s="31" t="s">
        <v>179</v>
      </c>
      <c r="D32" s="32">
        <v>7.4520000000000003E-2</v>
      </c>
      <c r="E32" s="40">
        <v>170.08</v>
      </c>
      <c r="F32" s="40">
        <v>12.67</v>
      </c>
      <c r="Q32">
        <v>3</v>
      </c>
    </row>
    <row r="33" spans="1:17" ht="13.8" x14ac:dyDescent="0.25">
      <c r="A33" s="39" t="s">
        <v>171</v>
      </c>
      <c r="B33" s="31" t="s">
        <v>172</v>
      </c>
      <c r="C33" s="31" t="s">
        <v>134</v>
      </c>
      <c r="D33" s="32">
        <v>2.7E-2</v>
      </c>
      <c r="E33" s="40">
        <v>245.07320999999999</v>
      </c>
      <c r="F33" s="40">
        <v>6.62</v>
      </c>
      <c r="Q33">
        <v>3</v>
      </c>
    </row>
    <row r="34" spans="1:17" ht="13.8" x14ac:dyDescent="0.25">
      <c r="A34" s="39" t="s">
        <v>155</v>
      </c>
      <c r="B34" s="31" t="s">
        <v>156</v>
      </c>
      <c r="C34" s="31" t="s">
        <v>41</v>
      </c>
      <c r="D34" s="32">
        <v>0.75</v>
      </c>
      <c r="E34" s="40">
        <v>62.36</v>
      </c>
      <c r="F34" s="40">
        <v>46.77</v>
      </c>
      <c r="Q34">
        <v>3</v>
      </c>
    </row>
    <row r="35" spans="1:17" ht="13.8" x14ac:dyDescent="0.25">
      <c r="A35" s="39" t="s">
        <v>137</v>
      </c>
      <c r="B35" s="31" t="s">
        <v>138</v>
      </c>
      <c r="C35" s="31" t="s">
        <v>134</v>
      </c>
      <c r="D35" s="32">
        <v>6.0000000000000001E-3</v>
      </c>
      <c r="E35" s="40">
        <v>35.08</v>
      </c>
      <c r="F35" s="40">
        <v>0.21</v>
      </c>
      <c r="Q35">
        <v>3</v>
      </c>
    </row>
    <row r="36" spans="1:17" ht="13.8" x14ac:dyDescent="0.25">
      <c r="A36" s="39" t="s">
        <v>130</v>
      </c>
      <c r="B36" s="31" t="s">
        <v>131</v>
      </c>
      <c r="C36" s="31" t="s">
        <v>24</v>
      </c>
      <c r="D36" s="32">
        <v>0.28678999999999999</v>
      </c>
      <c r="E36" s="40">
        <v>54.81</v>
      </c>
      <c r="F36" s="40">
        <v>15.73</v>
      </c>
      <c r="Q36">
        <v>3</v>
      </c>
    </row>
    <row r="37" spans="1:17" ht="27.6" x14ac:dyDescent="0.25">
      <c r="A37" s="39" t="s">
        <v>182</v>
      </c>
      <c r="B37" s="31" t="s">
        <v>183</v>
      </c>
      <c r="C37" s="31" t="s">
        <v>184</v>
      </c>
      <c r="D37" s="32">
        <v>1.472</v>
      </c>
      <c r="E37" s="40">
        <v>124.16</v>
      </c>
      <c r="F37" s="40">
        <v>182.76</v>
      </c>
      <c r="Q37">
        <v>3</v>
      </c>
    </row>
    <row r="38" spans="1:17" ht="27.6" x14ac:dyDescent="0.25">
      <c r="A38" s="39" t="s">
        <v>143</v>
      </c>
      <c r="B38" s="31" t="s">
        <v>144</v>
      </c>
      <c r="C38" s="31" t="s">
        <v>30</v>
      </c>
      <c r="D38" s="32">
        <v>2.6999999999999999E-5</v>
      </c>
      <c r="E38" s="40">
        <v>69090.16</v>
      </c>
      <c r="F38" s="40">
        <v>1.84</v>
      </c>
      <c r="Q38">
        <v>3</v>
      </c>
    </row>
    <row r="39" spans="1:17" ht="13.8" x14ac:dyDescent="0.25">
      <c r="A39" s="39" t="s">
        <v>173</v>
      </c>
      <c r="B39" s="31" t="s">
        <v>174</v>
      </c>
      <c r="C39" s="31" t="s">
        <v>30</v>
      </c>
      <c r="D39" s="32">
        <v>1.6200000000000001E-4</v>
      </c>
      <c r="E39" s="40">
        <v>85155.46</v>
      </c>
      <c r="F39" s="40">
        <v>13.8</v>
      </c>
      <c r="Q39">
        <v>3</v>
      </c>
    </row>
    <row r="40" spans="1:17" ht="27.6" x14ac:dyDescent="0.25">
      <c r="A40" s="39" t="s">
        <v>175</v>
      </c>
      <c r="B40" s="31" t="s">
        <v>176</v>
      </c>
      <c r="C40" s="31" t="s">
        <v>134</v>
      </c>
      <c r="D40" s="32">
        <v>0.16200000000000001</v>
      </c>
      <c r="E40" s="40">
        <v>114.65</v>
      </c>
      <c r="F40" s="40">
        <v>18.57</v>
      </c>
      <c r="Q40">
        <v>3</v>
      </c>
    </row>
    <row r="41" spans="1:17" ht="41.4" x14ac:dyDescent="0.25">
      <c r="A41" s="39" t="s">
        <v>165</v>
      </c>
      <c r="B41" s="31" t="s">
        <v>166</v>
      </c>
      <c r="C41" s="31" t="s">
        <v>134</v>
      </c>
      <c r="D41" s="32">
        <v>2.6882999999999999</v>
      </c>
      <c r="E41" s="40">
        <v>119.29</v>
      </c>
      <c r="F41" s="40">
        <v>320.68</v>
      </c>
      <c r="Q41">
        <v>3</v>
      </c>
    </row>
    <row r="42" spans="1:17" ht="41.4" x14ac:dyDescent="0.25">
      <c r="A42" s="39" t="s">
        <v>157</v>
      </c>
      <c r="B42" s="31" t="s">
        <v>158</v>
      </c>
      <c r="C42" s="31" t="s">
        <v>24</v>
      </c>
      <c r="D42" s="32">
        <v>0.30599999999999999</v>
      </c>
      <c r="E42" s="40">
        <v>7503.35</v>
      </c>
      <c r="F42" s="40">
        <v>2296.0300000000002</v>
      </c>
      <c r="Q42">
        <v>3</v>
      </c>
    </row>
    <row r="43" spans="1:17" ht="55.2" x14ac:dyDescent="0.25">
      <c r="A43" s="39" t="s">
        <v>167</v>
      </c>
      <c r="B43" s="31" t="s">
        <v>168</v>
      </c>
      <c r="C43" s="31" t="s">
        <v>30</v>
      </c>
      <c r="D43" s="32">
        <v>8.2256999999999997E-2</v>
      </c>
      <c r="E43" s="40">
        <v>13828.55</v>
      </c>
      <c r="F43" s="40">
        <v>1137.49</v>
      </c>
      <c r="Q43">
        <v>3</v>
      </c>
    </row>
    <row r="44" spans="1:17" ht="55.2" x14ac:dyDescent="0.25">
      <c r="A44" s="39" t="s">
        <v>169</v>
      </c>
      <c r="B44" s="31" t="s">
        <v>170</v>
      </c>
      <c r="C44" s="31" t="s">
        <v>30</v>
      </c>
      <c r="D44" s="32">
        <v>4.4159999999999998E-3</v>
      </c>
      <c r="E44" s="40">
        <v>91962.13</v>
      </c>
      <c r="F44" s="40">
        <v>406.11</v>
      </c>
      <c r="Q44">
        <v>3</v>
      </c>
    </row>
    <row r="45" spans="1:17" ht="13.8" x14ac:dyDescent="0.25">
      <c r="A45" s="39" t="s">
        <v>163</v>
      </c>
      <c r="B45" s="31" t="s">
        <v>164</v>
      </c>
      <c r="C45" s="31" t="s">
        <v>24</v>
      </c>
      <c r="D45" s="32">
        <v>0.21726000000000001</v>
      </c>
      <c r="E45" s="40">
        <v>6340.8</v>
      </c>
      <c r="F45" s="40">
        <v>1377.6</v>
      </c>
      <c r="Q45">
        <v>3</v>
      </c>
    </row>
    <row r="46" spans="1:17" ht="55.2" x14ac:dyDescent="0.25">
      <c r="A46" s="39" t="s">
        <v>161</v>
      </c>
      <c r="B46" s="31" t="s">
        <v>162</v>
      </c>
      <c r="C46" s="31" t="s">
        <v>30</v>
      </c>
      <c r="D46" s="32">
        <v>2.3999999999999998E-3</v>
      </c>
      <c r="E46" s="40">
        <v>49311.31</v>
      </c>
      <c r="F46" s="40">
        <v>118.35</v>
      </c>
      <c r="Q46">
        <v>3</v>
      </c>
    </row>
    <row r="47" spans="1:17" ht="27.6" x14ac:dyDescent="0.25">
      <c r="A47" s="39" t="s">
        <v>185</v>
      </c>
      <c r="B47" s="31" t="s">
        <v>186</v>
      </c>
      <c r="C47" s="31" t="s">
        <v>41</v>
      </c>
      <c r="D47" s="32">
        <v>11.224</v>
      </c>
      <c r="E47" s="40">
        <v>635.94000000000005</v>
      </c>
      <c r="F47" s="40">
        <v>7137.79</v>
      </c>
      <c r="Q47">
        <v>3</v>
      </c>
    </row>
    <row r="48" spans="1:17" ht="41.4" x14ac:dyDescent="0.25">
      <c r="A48" s="39" t="s">
        <v>187</v>
      </c>
      <c r="B48" s="31" t="s">
        <v>188</v>
      </c>
      <c r="C48" s="31" t="s">
        <v>184</v>
      </c>
      <c r="D48" s="32">
        <v>1.357</v>
      </c>
      <c r="E48" s="40">
        <v>299.08</v>
      </c>
      <c r="F48" s="40">
        <v>405.85</v>
      </c>
      <c r="Q48">
        <v>3</v>
      </c>
    </row>
    <row r="49" spans="1:17" ht="41.4" x14ac:dyDescent="0.25">
      <c r="A49" s="39" t="s">
        <v>189</v>
      </c>
      <c r="B49" s="31" t="s">
        <v>190</v>
      </c>
      <c r="C49" s="31" t="s">
        <v>184</v>
      </c>
      <c r="D49" s="32">
        <v>0.67896000000000001</v>
      </c>
      <c r="E49" s="40">
        <v>640.02</v>
      </c>
      <c r="F49" s="40">
        <v>434.55</v>
      </c>
      <c r="Q49">
        <v>3</v>
      </c>
    </row>
    <row r="50" spans="1:17" ht="41.4" x14ac:dyDescent="0.25">
      <c r="A50" s="39" t="s">
        <v>191</v>
      </c>
      <c r="B50" s="31" t="s">
        <v>192</v>
      </c>
      <c r="C50" s="31" t="s">
        <v>184</v>
      </c>
      <c r="D50" s="32">
        <v>1.5640000000000001</v>
      </c>
      <c r="E50" s="40">
        <v>277.83</v>
      </c>
      <c r="F50" s="40">
        <v>434.53</v>
      </c>
      <c r="Q50">
        <v>3</v>
      </c>
    </row>
    <row r="51" spans="1:17" ht="55.2" x14ac:dyDescent="0.25">
      <c r="A51" s="39" t="s">
        <v>43</v>
      </c>
      <c r="B51" s="31" t="s">
        <v>44</v>
      </c>
      <c r="C51" s="31" t="s">
        <v>41</v>
      </c>
      <c r="D51" s="32">
        <v>3.621</v>
      </c>
      <c r="E51" s="40">
        <v>4786.68</v>
      </c>
      <c r="F51" s="40">
        <v>17332.57</v>
      </c>
      <c r="Q51">
        <v>3</v>
      </c>
    </row>
    <row r="52" spans="1:17" ht="41.4" x14ac:dyDescent="0.25">
      <c r="A52" s="39" t="s">
        <v>43</v>
      </c>
      <c r="B52" s="31" t="s">
        <v>46</v>
      </c>
      <c r="C52" s="31" t="s">
        <v>41</v>
      </c>
      <c r="D52" s="32">
        <v>6.165</v>
      </c>
      <c r="E52" s="40">
        <v>1424.32</v>
      </c>
      <c r="F52" s="40">
        <v>8780.93</v>
      </c>
      <c r="Q52">
        <v>3</v>
      </c>
    </row>
    <row r="53" spans="1:17" ht="13.8" x14ac:dyDescent="0.25">
      <c r="A53" s="80" t="s">
        <v>388</v>
      </c>
      <c r="B53" s="80"/>
      <c r="C53" s="80"/>
      <c r="D53" s="80"/>
      <c r="E53" s="81">
        <v>40548.949999999997</v>
      </c>
      <c r="F53" s="81"/>
    </row>
    <row r="54" spans="1:17" ht="16.8" x14ac:dyDescent="0.25">
      <c r="A54" s="71" t="s">
        <v>394</v>
      </c>
      <c r="B54" s="72"/>
      <c r="C54" s="72"/>
      <c r="D54" s="72"/>
      <c r="E54" s="72"/>
      <c r="F54" s="72"/>
    </row>
    <row r="55" spans="1:17" ht="13.8" x14ac:dyDescent="0.25">
      <c r="A55" s="78" t="s">
        <v>387</v>
      </c>
      <c r="B55" s="79"/>
      <c r="C55" s="79"/>
      <c r="D55" s="79"/>
      <c r="E55" s="79"/>
      <c r="F55" s="79"/>
    </row>
    <row r="56" spans="1:17" ht="13.8" x14ac:dyDescent="0.25">
      <c r="A56" s="39" t="s">
        <v>199</v>
      </c>
      <c r="B56" s="31" t="s">
        <v>200</v>
      </c>
      <c r="C56" s="31" t="s">
        <v>30</v>
      </c>
      <c r="D56" s="32">
        <v>3.6499999999999998E-4</v>
      </c>
      <c r="E56" s="40">
        <v>246404.59</v>
      </c>
      <c r="F56" s="40">
        <v>89.94</v>
      </c>
      <c r="Q56">
        <v>3</v>
      </c>
    </row>
    <row r="57" spans="1:17" ht="13.8" x14ac:dyDescent="0.25">
      <c r="A57" s="39" t="s">
        <v>137</v>
      </c>
      <c r="B57" s="31" t="s">
        <v>138</v>
      </c>
      <c r="C57" s="31" t="s">
        <v>134</v>
      </c>
      <c r="D57" s="32">
        <v>7.2999999999999995E-2</v>
      </c>
      <c r="E57" s="40">
        <v>35.08</v>
      </c>
      <c r="F57" s="40">
        <v>2.56</v>
      </c>
      <c r="Q57">
        <v>3</v>
      </c>
    </row>
    <row r="58" spans="1:17" ht="41.4" x14ac:dyDescent="0.25">
      <c r="A58" s="39" t="s">
        <v>193</v>
      </c>
      <c r="B58" s="31" t="s">
        <v>194</v>
      </c>
      <c r="C58" s="31" t="s">
        <v>30</v>
      </c>
      <c r="D58" s="32">
        <v>4.6949999999999999E-2</v>
      </c>
      <c r="E58" s="40">
        <v>8146.26</v>
      </c>
      <c r="F58" s="40">
        <v>382.47</v>
      </c>
      <c r="Q58">
        <v>3</v>
      </c>
    </row>
    <row r="59" spans="1:17" ht="13.8" x14ac:dyDescent="0.25">
      <c r="A59" s="39" t="s">
        <v>130</v>
      </c>
      <c r="B59" s="31" t="s">
        <v>131</v>
      </c>
      <c r="C59" s="31" t="s">
        <v>24</v>
      </c>
      <c r="D59" s="32">
        <v>0.98041299999999998</v>
      </c>
      <c r="E59" s="40">
        <v>54.81</v>
      </c>
      <c r="F59" s="40">
        <v>53.74</v>
      </c>
      <c r="Q59">
        <v>3</v>
      </c>
    </row>
    <row r="60" spans="1:17" ht="13.8" x14ac:dyDescent="0.25">
      <c r="A60" s="39" t="s">
        <v>201</v>
      </c>
      <c r="B60" s="31" t="s">
        <v>202</v>
      </c>
      <c r="C60" s="31" t="s">
        <v>134</v>
      </c>
      <c r="D60" s="32">
        <v>1.752</v>
      </c>
      <c r="E60" s="40">
        <v>160.24</v>
      </c>
      <c r="F60" s="40">
        <v>280.74</v>
      </c>
      <c r="Q60">
        <v>3</v>
      </c>
    </row>
    <row r="61" spans="1:17" ht="27.6" x14ac:dyDescent="0.25">
      <c r="A61" s="39" t="s">
        <v>203</v>
      </c>
      <c r="B61" s="31" t="s">
        <v>204</v>
      </c>
      <c r="C61" s="31" t="s">
        <v>41</v>
      </c>
      <c r="D61" s="32">
        <v>15.768000000000001</v>
      </c>
      <c r="E61" s="40">
        <v>678.01</v>
      </c>
      <c r="F61" s="40">
        <v>10690.86</v>
      </c>
      <c r="Q61">
        <v>3</v>
      </c>
    </row>
    <row r="62" spans="1:17" ht="55.2" x14ac:dyDescent="0.25">
      <c r="A62" s="39" t="s">
        <v>54</v>
      </c>
      <c r="B62" s="31" t="s">
        <v>55</v>
      </c>
      <c r="C62" s="31" t="s">
        <v>41</v>
      </c>
      <c r="D62" s="32">
        <v>14.6</v>
      </c>
      <c r="E62" s="40">
        <v>781.87</v>
      </c>
      <c r="F62" s="40">
        <v>11415.3</v>
      </c>
      <c r="Q62">
        <v>3</v>
      </c>
    </row>
    <row r="63" spans="1:17" ht="41.4" x14ac:dyDescent="0.25">
      <c r="A63" s="39" t="s">
        <v>165</v>
      </c>
      <c r="B63" s="31" t="s">
        <v>166</v>
      </c>
      <c r="C63" s="31" t="s">
        <v>134</v>
      </c>
      <c r="D63" s="32">
        <v>1.5038</v>
      </c>
      <c r="E63" s="40">
        <v>119.29</v>
      </c>
      <c r="F63" s="40">
        <v>179.39</v>
      </c>
      <c r="Q63">
        <v>3</v>
      </c>
    </row>
    <row r="64" spans="1:17" ht="55.2" x14ac:dyDescent="0.25">
      <c r="A64" s="39" t="s">
        <v>167</v>
      </c>
      <c r="B64" s="31" t="s">
        <v>168</v>
      </c>
      <c r="C64" s="31" t="s">
        <v>30</v>
      </c>
      <c r="D64" s="32">
        <v>7.9715999999999995E-2</v>
      </c>
      <c r="E64" s="40">
        <v>13828.55</v>
      </c>
      <c r="F64" s="40">
        <v>1102.3599999999999</v>
      </c>
      <c r="Q64">
        <v>3</v>
      </c>
    </row>
    <row r="65" spans="1:17" ht="55.2" x14ac:dyDescent="0.25">
      <c r="A65" s="39" t="s">
        <v>169</v>
      </c>
      <c r="B65" s="31" t="s">
        <v>170</v>
      </c>
      <c r="C65" s="31" t="s">
        <v>30</v>
      </c>
      <c r="D65" s="32">
        <v>5.2560000000000003E-3</v>
      </c>
      <c r="E65" s="40">
        <v>91962.13</v>
      </c>
      <c r="F65" s="40">
        <v>483.35</v>
      </c>
      <c r="Q65">
        <v>3</v>
      </c>
    </row>
    <row r="66" spans="1:17" ht="27.6" x14ac:dyDescent="0.25">
      <c r="A66" s="39" t="s">
        <v>195</v>
      </c>
      <c r="B66" s="31" t="s">
        <v>196</v>
      </c>
      <c r="C66" s="31" t="s">
        <v>24</v>
      </c>
      <c r="D66" s="32">
        <v>1.2999999999999999E-2</v>
      </c>
      <c r="E66" s="40">
        <v>5842.83</v>
      </c>
      <c r="F66" s="40">
        <v>75.959999999999994</v>
      </c>
      <c r="Q66">
        <v>3</v>
      </c>
    </row>
    <row r="67" spans="1:17" ht="13.8" x14ac:dyDescent="0.25">
      <c r="A67" s="39" t="s">
        <v>163</v>
      </c>
      <c r="B67" s="31" t="s">
        <v>164</v>
      </c>
      <c r="C67" s="31" t="s">
        <v>24</v>
      </c>
      <c r="D67" s="32">
        <v>1.1757839999999999</v>
      </c>
      <c r="E67" s="40">
        <v>6340.8</v>
      </c>
      <c r="F67" s="40">
        <v>7455.41</v>
      </c>
      <c r="Q67">
        <v>3</v>
      </c>
    </row>
    <row r="68" spans="1:17" ht="41.4" x14ac:dyDescent="0.25">
      <c r="A68" s="39" t="s">
        <v>205</v>
      </c>
      <c r="B68" s="31" t="s">
        <v>206</v>
      </c>
      <c r="C68" s="31" t="s">
        <v>30</v>
      </c>
      <c r="D68" s="32">
        <v>0.15207399999999999</v>
      </c>
      <c r="E68" s="40">
        <v>5587.32</v>
      </c>
      <c r="F68" s="40">
        <v>849.68</v>
      </c>
      <c r="Q68">
        <v>3</v>
      </c>
    </row>
    <row r="69" spans="1:17" ht="27.6" x14ac:dyDescent="0.25">
      <c r="A69" s="39" t="s">
        <v>197</v>
      </c>
      <c r="B69" s="31" t="s">
        <v>198</v>
      </c>
      <c r="C69" s="31" t="s">
        <v>41</v>
      </c>
      <c r="D69" s="32">
        <v>26</v>
      </c>
      <c r="E69" s="40">
        <v>1732.06</v>
      </c>
      <c r="F69" s="40">
        <v>45033.56</v>
      </c>
      <c r="Q69">
        <v>3</v>
      </c>
    </row>
    <row r="70" spans="1:17" ht="13.8" x14ac:dyDescent="0.25">
      <c r="A70" s="80" t="s">
        <v>388</v>
      </c>
      <c r="B70" s="80"/>
      <c r="C70" s="80"/>
      <c r="D70" s="80"/>
      <c r="E70" s="81">
        <v>78095.319999999992</v>
      </c>
      <c r="F70" s="81"/>
    </row>
    <row r="71" spans="1:17" ht="16.8" x14ac:dyDescent="0.25">
      <c r="A71" s="71" t="s">
        <v>395</v>
      </c>
      <c r="B71" s="72"/>
      <c r="C71" s="72"/>
      <c r="D71" s="72"/>
      <c r="E71" s="72"/>
      <c r="F71" s="72"/>
    </row>
    <row r="72" spans="1:17" ht="13.8" x14ac:dyDescent="0.25">
      <c r="A72" s="78" t="s">
        <v>387</v>
      </c>
      <c r="B72" s="79"/>
      <c r="C72" s="79"/>
      <c r="D72" s="79"/>
      <c r="E72" s="79"/>
      <c r="F72" s="79"/>
    </row>
    <row r="73" spans="1:17" ht="55.2" x14ac:dyDescent="0.25">
      <c r="A73" s="39" t="s">
        <v>177</v>
      </c>
      <c r="B73" s="31" t="s">
        <v>178</v>
      </c>
      <c r="C73" s="31" t="s">
        <v>179</v>
      </c>
      <c r="D73" s="32">
        <v>1.419</v>
      </c>
      <c r="E73" s="40">
        <v>103.79</v>
      </c>
      <c r="F73" s="40">
        <v>147.28</v>
      </c>
      <c r="Q73">
        <v>3</v>
      </c>
    </row>
    <row r="74" spans="1:17" ht="55.2" x14ac:dyDescent="0.25">
      <c r="A74" s="39" t="s">
        <v>180</v>
      </c>
      <c r="B74" s="31" t="s">
        <v>181</v>
      </c>
      <c r="C74" s="31" t="s">
        <v>179</v>
      </c>
      <c r="D74" s="32">
        <v>0.1782</v>
      </c>
      <c r="E74" s="40">
        <v>170.08</v>
      </c>
      <c r="F74" s="40">
        <v>30.31</v>
      </c>
      <c r="Q74">
        <v>3</v>
      </c>
    </row>
    <row r="75" spans="1:17" ht="41.4" x14ac:dyDescent="0.25">
      <c r="A75" s="39" t="s">
        <v>250</v>
      </c>
      <c r="B75" s="31" t="s">
        <v>251</v>
      </c>
      <c r="C75" s="31" t="s">
        <v>179</v>
      </c>
      <c r="D75" s="32">
        <v>6.8084100000000003</v>
      </c>
      <c r="E75" s="40">
        <v>964.18</v>
      </c>
      <c r="F75" s="40">
        <v>6564.53</v>
      </c>
      <c r="Q75">
        <v>3</v>
      </c>
    </row>
    <row r="76" spans="1:17" ht="41.4" x14ac:dyDescent="0.25">
      <c r="A76" s="39" t="s">
        <v>207</v>
      </c>
      <c r="B76" s="31" t="s">
        <v>208</v>
      </c>
      <c r="C76" s="31" t="s">
        <v>179</v>
      </c>
      <c r="D76" s="32">
        <v>0.85707</v>
      </c>
      <c r="E76" s="40">
        <v>3168.17</v>
      </c>
      <c r="F76" s="40">
        <v>2715.34</v>
      </c>
      <c r="Q76">
        <v>3</v>
      </c>
    </row>
    <row r="77" spans="1:17" ht="41.4" x14ac:dyDescent="0.25">
      <c r="A77" s="39" t="s">
        <v>209</v>
      </c>
      <c r="B77" s="31" t="s">
        <v>210</v>
      </c>
      <c r="C77" s="31" t="s">
        <v>179</v>
      </c>
      <c r="D77" s="32">
        <v>2.3208299999999999</v>
      </c>
      <c r="E77" s="40">
        <v>3817.02</v>
      </c>
      <c r="F77" s="40">
        <v>8858.66</v>
      </c>
      <c r="Q77">
        <v>3</v>
      </c>
    </row>
    <row r="78" spans="1:17" ht="41.4" x14ac:dyDescent="0.25">
      <c r="A78" s="39" t="s">
        <v>211</v>
      </c>
      <c r="B78" s="31" t="s">
        <v>212</v>
      </c>
      <c r="C78" s="31" t="s">
        <v>179</v>
      </c>
      <c r="D78" s="32">
        <v>0.92447999999999997</v>
      </c>
      <c r="E78" s="40">
        <v>3165.41</v>
      </c>
      <c r="F78" s="40">
        <v>2926.35</v>
      </c>
      <c r="Q78">
        <v>3</v>
      </c>
    </row>
    <row r="79" spans="1:17" ht="27.6" x14ac:dyDescent="0.25">
      <c r="A79" s="39" t="s">
        <v>238</v>
      </c>
      <c r="B79" s="31" t="s">
        <v>239</v>
      </c>
      <c r="C79" s="31" t="s">
        <v>134</v>
      </c>
      <c r="D79" s="32">
        <v>0.52976000000000001</v>
      </c>
      <c r="E79" s="40">
        <v>328.2</v>
      </c>
      <c r="F79" s="40">
        <v>173.87</v>
      </c>
      <c r="Q79">
        <v>3</v>
      </c>
    </row>
    <row r="80" spans="1:17" ht="13.8" x14ac:dyDescent="0.25">
      <c r="A80" s="39" t="s">
        <v>153</v>
      </c>
      <c r="B80" s="31" t="s">
        <v>154</v>
      </c>
      <c r="C80" s="31" t="s">
        <v>30</v>
      </c>
      <c r="D80" s="32">
        <v>2.2000000000000001E-4</v>
      </c>
      <c r="E80" s="40">
        <v>92962.57</v>
      </c>
      <c r="F80" s="40">
        <v>20.45</v>
      </c>
      <c r="Q80">
        <v>3</v>
      </c>
    </row>
    <row r="81" spans="1:17" ht="55.2" x14ac:dyDescent="0.25">
      <c r="A81" s="39" t="s">
        <v>213</v>
      </c>
      <c r="B81" s="31" t="s">
        <v>214</v>
      </c>
      <c r="C81" s="31" t="s">
        <v>179</v>
      </c>
      <c r="D81" s="32">
        <v>2.5808399999999998</v>
      </c>
      <c r="E81" s="40">
        <v>12329.98</v>
      </c>
      <c r="F81" s="40">
        <v>31821.71</v>
      </c>
      <c r="Q81">
        <v>3</v>
      </c>
    </row>
    <row r="82" spans="1:17" ht="13.8" x14ac:dyDescent="0.25">
      <c r="A82" s="39" t="s">
        <v>267</v>
      </c>
      <c r="B82" s="31" t="s">
        <v>268</v>
      </c>
      <c r="C82" s="31" t="s">
        <v>91</v>
      </c>
      <c r="D82" s="32">
        <v>29.988</v>
      </c>
      <c r="E82" s="40">
        <v>6.13</v>
      </c>
      <c r="F82" s="40">
        <v>183.83</v>
      </c>
      <c r="Q82">
        <v>3</v>
      </c>
    </row>
    <row r="83" spans="1:17" ht="41.4" x14ac:dyDescent="0.25">
      <c r="A83" s="39" t="s">
        <v>215</v>
      </c>
      <c r="B83" s="31" t="s">
        <v>216</v>
      </c>
      <c r="C83" s="31" t="s">
        <v>179</v>
      </c>
      <c r="D83" s="32">
        <v>28.209019999999999</v>
      </c>
      <c r="E83" s="40">
        <v>559.38</v>
      </c>
      <c r="F83" s="40">
        <v>15779.57</v>
      </c>
      <c r="Q83">
        <v>3</v>
      </c>
    </row>
    <row r="84" spans="1:17" ht="41.4" x14ac:dyDescent="0.25">
      <c r="A84" s="39" t="s">
        <v>217</v>
      </c>
      <c r="B84" s="31" t="s">
        <v>218</v>
      </c>
      <c r="C84" s="31" t="s">
        <v>179</v>
      </c>
      <c r="D84" s="32">
        <v>2.5808399999999998</v>
      </c>
      <c r="E84" s="40">
        <v>2347.7600000000002</v>
      </c>
      <c r="F84" s="40">
        <v>6059.2</v>
      </c>
      <c r="Q84">
        <v>3</v>
      </c>
    </row>
    <row r="85" spans="1:17" ht="55.2" x14ac:dyDescent="0.25">
      <c r="A85" s="39" t="s">
        <v>219</v>
      </c>
      <c r="B85" s="31" t="s">
        <v>220</v>
      </c>
      <c r="C85" s="31" t="s">
        <v>179</v>
      </c>
      <c r="D85" s="32">
        <v>0.37557000000000001</v>
      </c>
      <c r="E85" s="40">
        <v>4230.41</v>
      </c>
      <c r="F85" s="40">
        <v>1588.82</v>
      </c>
      <c r="Q85">
        <v>3</v>
      </c>
    </row>
    <row r="86" spans="1:17" ht="41.4" x14ac:dyDescent="0.25">
      <c r="A86" s="39" t="s">
        <v>221</v>
      </c>
      <c r="B86" s="31" t="s">
        <v>222</v>
      </c>
      <c r="C86" s="31" t="s">
        <v>179</v>
      </c>
      <c r="D86" s="32">
        <v>2.5808399999999998</v>
      </c>
      <c r="E86" s="40">
        <v>1081.21</v>
      </c>
      <c r="F86" s="40">
        <v>2790.43</v>
      </c>
      <c r="Q86">
        <v>3</v>
      </c>
    </row>
    <row r="87" spans="1:17" ht="41.4" x14ac:dyDescent="0.25">
      <c r="A87" s="39" t="s">
        <v>252</v>
      </c>
      <c r="B87" s="31" t="s">
        <v>253</v>
      </c>
      <c r="C87" s="31" t="s">
        <v>24</v>
      </c>
      <c r="D87" s="32">
        <v>10.70856</v>
      </c>
      <c r="E87" s="40">
        <v>8938.5300000000007</v>
      </c>
      <c r="F87" s="40">
        <v>95718.78</v>
      </c>
      <c r="Q87">
        <v>3</v>
      </c>
    </row>
    <row r="88" spans="1:17" ht="27.6" x14ac:dyDescent="0.25">
      <c r="A88" s="39" t="s">
        <v>256</v>
      </c>
      <c r="B88" s="31" t="s">
        <v>257</v>
      </c>
      <c r="C88" s="31" t="s">
        <v>30</v>
      </c>
      <c r="D88" s="32">
        <v>5.7600000000000004E-3</v>
      </c>
      <c r="E88" s="40">
        <v>33081.97</v>
      </c>
      <c r="F88" s="40">
        <v>190.55</v>
      </c>
      <c r="Q88">
        <v>3</v>
      </c>
    </row>
    <row r="89" spans="1:17" ht="27.6" x14ac:dyDescent="0.25">
      <c r="A89" s="39" t="s">
        <v>258</v>
      </c>
      <c r="B89" s="31" t="s">
        <v>259</v>
      </c>
      <c r="C89" s="31" t="s">
        <v>30</v>
      </c>
      <c r="D89" s="32">
        <v>8.6400000000000005E-2</v>
      </c>
      <c r="E89" s="40">
        <v>51913.04</v>
      </c>
      <c r="F89" s="40">
        <v>4485.29</v>
      </c>
      <c r="Q89">
        <v>3</v>
      </c>
    </row>
    <row r="90" spans="1:17" ht="13.8" x14ac:dyDescent="0.25">
      <c r="A90" s="39" t="s">
        <v>137</v>
      </c>
      <c r="B90" s="31" t="s">
        <v>138</v>
      </c>
      <c r="C90" s="31" t="s">
        <v>134</v>
      </c>
      <c r="D90" s="32">
        <v>0.28199999999999997</v>
      </c>
      <c r="E90" s="40">
        <v>35.08</v>
      </c>
      <c r="F90" s="40">
        <v>9.89</v>
      </c>
      <c r="Q90">
        <v>3</v>
      </c>
    </row>
    <row r="91" spans="1:17" ht="13.8" x14ac:dyDescent="0.25">
      <c r="A91" s="39" t="s">
        <v>130</v>
      </c>
      <c r="B91" s="31" t="s">
        <v>131</v>
      </c>
      <c r="C91" s="31" t="s">
        <v>24</v>
      </c>
      <c r="D91" s="32">
        <v>0.146171</v>
      </c>
      <c r="E91" s="40">
        <v>54.81</v>
      </c>
      <c r="F91" s="40">
        <v>8.02</v>
      </c>
      <c r="Q91">
        <v>3</v>
      </c>
    </row>
    <row r="92" spans="1:17" ht="69" x14ac:dyDescent="0.25">
      <c r="A92" s="39" t="s">
        <v>269</v>
      </c>
      <c r="B92" s="31" t="s">
        <v>270</v>
      </c>
      <c r="C92" s="31" t="s">
        <v>184</v>
      </c>
      <c r="D92" s="32">
        <v>4.2210000000000001</v>
      </c>
      <c r="E92" s="40">
        <v>14.29</v>
      </c>
      <c r="F92" s="40">
        <v>60.32</v>
      </c>
      <c r="Q92">
        <v>3</v>
      </c>
    </row>
    <row r="93" spans="1:17" ht="82.8" x14ac:dyDescent="0.25">
      <c r="A93" s="39" t="s">
        <v>271</v>
      </c>
      <c r="B93" s="31" t="s">
        <v>272</v>
      </c>
      <c r="C93" s="31" t="s">
        <v>184</v>
      </c>
      <c r="D93" s="32">
        <v>20.349</v>
      </c>
      <c r="E93" s="40">
        <v>20.71</v>
      </c>
      <c r="F93" s="40">
        <v>421.43</v>
      </c>
      <c r="Q93">
        <v>3</v>
      </c>
    </row>
    <row r="94" spans="1:17" ht="13.8" x14ac:dyDescent="0.25">
      <c r="A94" s="39" t="s">
        <v>139</v>
      </c>
      <c r="B94" s="31" t="s">
        <v>140</v>
      </c>
      <c r="C94" s="31" t="s">
        <v>30</v>
      </c>
      <c r="D94" s="32">
        <v>1.44E-4</v>
      </c>
      <c r="E94" s="40">
        <v>2544.62</v>
      </c>
      <c r="F94" s="40">
        <v>0.37</v>
      </c>
      <c r="Q94">
        <v>3</v>
      </c>
    </row>
    <row r="95" spans="1:17" ht="13.8" x14ac:dyDescent="0.25">
      <c r="A95" s="39" t="s">
        <v>273</v>
      </c>
      <c r="B95" s="31" t="s">
        <v>274</v>
      </c>
      <c r="C95" s="31" t="s">
        <v>275</v>
      </c>
      <c r="D95" s="32">
        <v>3.5910000000000002</v>
      </c>
      <c r="E95" s="40">
        <v>299.41000000000003</v>
      </c>
      <c r="F95" s="40">
        <v>1075.18</v>
      </c>
      <c r="Q95">
        <v>3</v>
      </c>
    </row>
    <row r="96" spans="1:17" ht="27.6" x14ac:dyDescent="0.25">
      <c r="A96" s="39" t="s">
        <v>182</v>
      </c>
      <c r="B96" s="31" t="s">
        <v>183</v>
      </c>
      <c r="C96" s="31" t="s">
        <v>184</v>
      </c>
      <c r="D96" s="32">
        <v>3.52</v>
      </c>
      <c r="E96" s="40">
        <v>124.16</v>
      </c>
      <c r="F96" s="40">
        <v>437.04</v>
      </c>
      <c r="Q96">
        <v>3</v>
      </c>
    </row>
    <row r="97" spans="1:17" ht="27.6" x14ac:dyDescent="0.25">
      <c r="A97" s="39" t="s">
        <v>223</v>
      </c>
      <c r="B97" s="31" t="s">
        <v>224</v>
      </c>
      <c r="C97" s="31" t="s">
        <v>225</v>
      </c>
      <c r="D97" s="32">
        <v>2.5808399999999998</v>
      </c>
      <c r="E97" s="40">
        <v>558.71</v>
      </c>
      <c r="F97" s="40">
        <v>1441.94</v>
      </c>
      <c r="Q97">
        <v>3</v>
      </c>
    </row>
    <row r="98" spans="1:17" ht="13.8" x14ac:dyDescent="0.25">
      <c r="A98" s="39" t="s">
        <v>141</v>
      </c>
      <c r="B98" s="31" t="s">
        <v>142</v>
      </c>
      <c r="C98" s="31" t="s">
        <v>30</v>
      </c>
      <c r="D98" s="32">
        <v>7.1999999999999998E-3</v>
      </c>
      <c r="E98" s="40">
        <v>337919.86</v>
      </c>
      <c r="F98" s="40">
        <v>2433.02</v>
      </c>
      <c r="Q98">
        <v>3</v>
      </c>
    </row>
    <row r="99" spans="1:17" ht="41.4" x14ac:dyDescent="0.25">
      <c r="A99" s="39" t="s">
        <v>276</v>
      </c>
      <c r="B99" s="31" t="s">
        <v>277</v>
      </c>
      <c r="C99" s="31" t="s">
        <v>184</v>
      </c>
      <c r="D99" s="32">
        <v>12.6</v>
      </c>
      <c r="E99" s="40">
        <v>21.3</v>
      </c>
      <c r="F99" s="40">
        <v>268.38</v>
      </c>
      <c r="Q99">
        <v>3</v>
      </c>
    </row>
    <row r="100" spans="1:17" ht="13.8" x14ac:dyDescent="0.25">
      <c r="A100" s="39" t="s">
        <v>260</v>
      </c>
      <c r="B100" s="31" t="s">
        <v>261</v>
      </c>
      <c r="C100" s="31" t="s">
        <v>30</v>
      </c>
      <c r="D100" s="32">
        <v>8.6400000000000001E-3</v>
      </c>
      <c r="E100" s="40">
        <v>92073.46</v>
      </c>
      <c r="F100" s="40">
        <v>795.51</v>
      </c>
      <c r="Q100">
        <v>3</v>
      </c>
    </row>
    <row r="101" spans="1:17" ht="41.4" x14ac:dyDescent="0.25">
      <c r="A101" s="39" t="s">
        <v>226</v>
      </c>
      <c r="B101" s="31" t="s">
        <v>227</v>
      </c>
      <c r="C101" s="31" t="s">
        <v>41</v>
      </c>
      <c r="D101" s="32">
        <v>102.078</v>
      </c>
      <c r="E101" s="40">
        <v>1451.66</v>
      </c>
      <c r="F101" s="40">
        <v>148182.54999999999</v>
      </c>
      <c r="Q101">
        <v>3</v>
      </c>
    </row>
    <row r="102" spans="1:17" ht="27.6" x14ac:dyDescent="0.25">
      <c r="A102" s="39" t="s">
        <v>262</v>
      </c>
      <c r="B102" s="31" t="s">
        <v>263</v>
      </c>
      <c r="C102" s="31" t="s">
        <v>264</v>
      </c>
      <c r="D102" s="32">
        <v>0.20100000000000001</v>
      </c>
      <c r="E102" s="40">
        <v>19309.61</v>
      </c>
      <c r="F102" s="40">
        <v>3881.23</v>
      </c>
      <c r="Q102">
        <v>3</v>
      </c>
    </row>
    <row r="103" spans="1:17" ht="27.6" x14ac:dyDescent="0.25">
      <c r="A103" s="39" t="s">
        <v>143</v>
      </c>
      <c r="B103" s="31" t="s">
        <v>144</v>
      </c>
      <c r="C103" s="31" t="s">
        <v>30</v>
      </c>
      <c r="D103" s="32">
        <v>6.0000000000000001E-3</v>
      </c>
      <c r="E103" s="40">
        <v>69090.16</v>
      </c>
      <c r="F103" s="40">
        <v>414.54</v>
      </c>
      <c r="Q103">
        <v>3</v>
      </c>
    </row>
    <row r="104" spans="1:17" ht="13.8" x14ac:dyDescent="0.25">
      <c r="A104" s="39" t="s">
        <v>145</v>
      </c>
      <c r="B104" s="31" t="s">
        <v>146</v>
      </c>
      <c r="C104" s="31" t="s">
        <v>30</v>
      </c>
      <c r="D104" s="32">
        <v>8.9999999999999993E-3</v>
      </c>
      <c r="E104" s="40">
        <v>206096.25</v>
      </c>
      <c r="F104" s="40">
        <v>1854.86</v>
      </c>
      <c r="Q104">
        <v>3</v>
      </c>
    </row>
    <row r="105" spans="1:17" ht="41.4" x14ac:dyDescent="0.25">
      <c r="A105" s="39" t="s">
        <v>282</v>
      </c>
      <c r="B105" s="31" t="s">
        <v>283</v>
      </c>
      <c r="C105" s="31" t="s">
        <v>30</v>
      </c>
      <c r="D105" s="32">
        <v>1.0950000000000001E-3</v>
      </c>
      <c r="E105" s="40">
        <v>94320.16</v>
      </c>
      <c r="F105" s="40">
        <v>103.26</v>
      </c>
      <c r="Q105">
        <v>3</v>
      </c>
    </row>
    <row r="106" spans="1:17" ht="27.6" x14ac:dyDescent="0.25">
      <c r="A106" s="39" t="s">
        <v>147</v>
      </c>
      <c r="B106" s="31" t="s">
        <v>148</v>
      </c>
      <c r="C106" s="31" t="s">
        <v>30</v>
      </c>
      <c r="D106" s="32">
        <v>3.5400000000000001E-2</v>
      </c>
      <c r="E106" s="40">
        <v>145683.25</v>
      </c>
      <c r="F106" s="40">
        <v>5157.1899999999996</v>
      </c>
      <c r="Q106">
        <v>3</v>
      </c>
    </row>
    <row r="107" spans="1:17" ht="27.6" x14ac:dyDescent="0.25">
      <c r="A107" s="39" t="s">
        <v>284</v>
      </c>
      <c r="B107" s="31" t="s">
        <v>285</v>
      </c>
      <c r="C107" s="31" t="s">
        <v>134</v>
      </c>
      <c r="D107" s="32">
        <v>0.61199999999999999</v>
      </c>
      <c r="E107" s="40">
        <v>99.37</v>
      </c>
      <c r="F107" s="40">
        <v>60.81</v>
      </c>
      <c r="Q107">
        <v>3</v>
      </c>
    </row>
    <row r="108" spans="1:17" ht="27.6" x14ac:dyDescent="0.25">
      <c r="A108" s="39" t="s">
        <v>280</v>
      </c>
      <c r="B108" s="31" t="s">
        <v>281</v>
      </c>
      <c r="C108" s="31" t="s">
        <v>24</v>
      </c>
      <c r="D108" s="32">
        <v>0.17599999999999999</v>
      </c>
      <c r="E108" s="40">
        <v>11243.2</v>
      </c>
      <c r="F108" s="40">
        <v>1978.8</v>
      </c>
      <c r="Q108">
        <v>3</v>
      </c>
    </row>
    <row r="109" spans="1:17" ht="27.6" x14ac:dyDescent="0.25">
      <c r="A109" s="39" t="s">
        <v>128</v>
      </c>
      <c r="B109" s="31" t="s">
        <v>129</v>
      </c>
      <c r="C109" s="31" t="s">
        <v>24</v>
      </c>
      <c r="D109" s="32">
        <v>0.55671800000000005</v>
      </c>
      <c r="E109" s="40">
        <v>5838.86</v>
      </c>
      <c r="F109" s="40">
        <v>3250.6</v>
      </c>
      <c r="Q109">
        <v>3</v>
      </c>
    </row>
    <row r="110" spans="1:17" ht="55.2" x14ac:dyDescent="0.25">
      <c r="A110" s="39" t="s">
        <v>254</v>
      </c>
      <c r="B110" s="31" t="s">
        <v>255</v>
      </c>
      <c r="C110" s="31" t="s">
        <v>30</v>
      </c>
      <c r="D110" s="32">
        <v>0.37942199999999998</v>
      </c>
      <c r="E110" s="40">
        <v>42310.2</v>
      </c>
      <c r="F110" s="40">
        <v>16053.42</v>
      </c>
      <c r="Q110">
        <v>3</v>
      </c>
    </row>
    <row r="111" spans="1:17" ht="55.2" x14ac:dyDescent="0.25">
      <c r="A111" s="39" t="s">
        <v>228</v>
      </c>
      <c r="B111" s="31" t="s">
        <v>229</v>
      </c>
      <c r="C111" s="31" t="s">
        <v>30</v>
      </c>
      <c r="D111" s="32">
        <v>6.7363000000000006E-2</v>
      </c>
      <c r="E111" s="40">
        <v>18826.55</v>
      </c>
      <c r="F111" s="40">
        <v>1268.22</v>
      </c>
      <c r="Q111">
        <v>3</v>
      </c>
    </row>
    <row r="112" spans="1:17" ht="27.6" x14ac:dyDescent="0.25">
      <c r="A112" s="39" t="s">
        <v>265</v>
      </c>
      <c r="B112" s="31" t="s">
        <v>266</v>
      </c>
      <c r="C112" s="31" t="s">
        <v>24</v>
      </c>
      <c r="D112" s="32">
        <v>0.1265</v>
      </c>
      <c r="E112" s="40">
        <v>5725.53</v>
      </c>
      <c r="F112" s="40">
        <v>724.28</v>
      </c>
      <c r="Q112">
        <v>3</v>
      </c>
    </row>
    <row r="113" spans="1:17" ht="55.2" x14ac:dyDescent="0.25">
      <c r="A113" s="39" t="s">
        <v>135</v>
      </c>
      <c r="B113" s="31" t="s">
        <v>136</v>
      </c>
      <c r="C113" s="31" t="s">
        <v>30</v>
      </c>
      <c r="D113" s="32">
        <v>0.222687</v>
      </c>
      <c r="E113" s="40">
        <v>10205.959999999999</v>
      </c>
      <c r="F113" s="40">
        <v>2272.73</v>
      </c>
      <c r="Q113">
        <v>3</v>
      </c>
    </row>
    <row r="114" spans="1:17" ht="55.2" x14ac:dyDescent="0.25">
      <c r="A114" s="39" t="s">
        <v>93</v>
      </c>
      <c r="B114" s="31" t="s">
        <v>94</v>
      </c>
      <c r="C114" s="31" t="s">
        <v>91</v>
      </c>
      <c r="D114" s="32">
        <v>30</v>
      </c>
      <c r="E114" s="40">
        <v>70.31</v>
      </c>
      <c r="F114" s="40">
        <v>2109.3000000000002</v>
      </c>
      <c r="Q114">
        <v>3</v>
      </c>
    </row>
    <row r="115" spans="1:17" ht="55.2" x14ac:dyDescent="0.25">
      <c r="A115" s="39" t="s">
        <v>89</v>
      </c>
      <c r="B115" s="31" t="s">
        <v>90</v>
      </c>
      <c r="C115" s="31" t="s">
        <v>91</v>
      </c>
      <c r="D115" s="32">
        <v>310</v>
      </c>
      <c r="E115" s="40">
        <v>247.86</v>
      </c>
      <c r="F115" s="40">
        <v>76836.600000000006</v>
      </c>
      <c r="Q115">
        <v>3</v>
      </c>
    </row>
    <row r="116" spans="1:17" ht="69" x14ac:dyDescent="0.25">
      <c r="A116" s="39" t="s">
        <v>240</v>
      </c>
      <c r="B116" s="31" t="s">
        <v>241</v>
      </c>
      <c r="C116" s="31" t="s">
        <v>91</v>
      </c>
      <c r="D116" s="32">
        <v>206.05199999999999</v>
      </c>
      <c r="E116" s="40">
        <v>51.94</v>
      </c>
      <c r="F116" s="40">
        <v>10702.34</v>
      </c>
      <c r="Q116">
        <v>3</v>
      </c>
    </row>
    <row r="117" spans="1:17" ht="82.8" x14ac:dyDescent="0.25">
      <c r="A117" s="39" t="s">
        <v>99</v>
      </c>
      <c r="B117" s="31" t="s">
        <v>100</v>
      </c>
      <c r="C117" s="31" t="s">
        <v>41</v>
      </c>
      <c r="D117" s="32">
        <v>30.8</v>
      </c>
      <c r="E117" s="40">
        <v>1091.17</v>
      </c>
      <c r="F117" s="40">
        <v>33608.04</v>
      </c>
      <c r="Q117">
        <v>3</v>
      </c>
    </row>
    <row r="118" spans="1:17" ht="41.4" x14ac:dyDescent="0.25">
      <c r="A118" s="39" t="s">
        <v>242</v>
      </c>
      <c r="B118" s="31" t="s">
        <v>243</v>
      </c>
      <c r="C118" s="31" t="s">
        <v>184</v>
      </c>
      <c r="D118" s="32">
        <v>26.257000000000001</v>
      </c>
      <c r="E118" s="40">
        <v>106.84</v>
      </c>
      <c r="F118" s="40">
        <v>2805.3</v>
      </c>
      <c r="Q118">
        <v>3</v>
      </c>
    </row>
    <row r="119" spans="1:17" ht="41.4" x14ac:dyDescent="0.25">
      <c r="A119" s="39" t="s">
        <v>230</v>
      </c>
      <c r="B119" s="31" t="s">
        <v>231</v>
      </c>
      <c r="C119" s="31" t="s">
        <v>184</v>
      </c>
      <c r="D119" s="32">
        <v>10.0152</v>
      </c>
      <c r="E119" s="40">
        <v>279.06</v>
      </c>
      <c r="F119" s="40">
        <v>2794.84</v>
      </c>
      <c r="Q119">
        <v>3</v>
      </c>
    </row>
    <row r="120" spans="1:17" ht="55.2" x14ac:dyDescent="0.25">
      <c r="A120" s="39" t="s">
        <v>232</v>
      </c>
      <c r="B120" s="31" t="s">
        <v>233</v>
      </c>
      <c r="C120" s="31" t="s">
        <v>184</v>
      </c>
      <c r="D120" s="32">
        <v>193.94820000000001</v>
      </c>
      <c r="E120" s="40">
        <v>195.19</v>
      </c>
      <c r="F120" s="40">
        <v>37856.75</v>
      </c>
      <c r="Q120">
        <v>3</v>
      </c>
    </row>
    <row r="121" spans="1:17" ht="41.4" x14ac:dyDescent="0.25">
      <c r="A121" s="39" t="s">
        <v>234</v>
      </c>
      <c r="B121" s="31" t="s">
        <v>235</v>
      </c>
      <c r="C121" s="31" t="s">
        <v>184</v>
      </c>
      <c r="D121" s="32">
        <v>16.823609999999999</v>
      </c>
      <c r="E121" s="40">
        <v>182.51</v>
      </c>
      <c r="F121" s="40">
        <v>3070.48</v>
      </c>
      <c r="Q121">
        <v>3</v>
      </c>
    </row>
    <row r="122" spans="1:17" ht="41.4" x14ac:dyDescent="0.25">
      <c r="A122" s="39" t="s">
        <v>244</v>
      </c>
      <c r="B122" s="31" t="s">
        <v>245</v>
      </c>
      <c r="C122" s="31" t="s">
        <v>184</v>
      </c>
      <c r="D122" s="32">
        <v>26.1492</v>
      </c>
      <c r="E122" s="40">
        <v>169.32</v>
      </c>
      <c r="F122" s="40">
        <v>4427.58</v>
      </c>
      <c r="Q122">
        <v>3</v>
      </c>
    </row>
    <row r="123" spans="1:17" ht="27.6" x14ac:dyDescent="0.25">
      <c r="A123" s="39" t="s">
        <v>185</v>
      </c>
      <c r="B123" s="31" t="s">
        <v>186</v>
      </c>
      <c r="C123" s="31" t="s">
        <v>41</v>
      </c>
      <c r="D123" s="32">
        <v>26.84</v>
      </c>
      <c r="E123" s="40">
        <v>635.94000000000005</v>
      </c>
      <c r="F123" s="40">
        <v>17068.63</v>
      </c>
      <c r="Q123">
        <v>3</v>
      </c>
    </row>
    <row r="124" spans="1:17" ht="41.4" x14ac:dyDescent="0.25">
      <c r="A124" s="39" t="s">
        <v>187</v>
      </c>
      <c r="B124" s="31" t="s">
        <v>188</v>
      </c>
      <c r="C124" s="31" t="s">
        <v>184</v>
      </c>
      <c r="D124" s="32">
        <v>3.2450000000000001</v>
      </c>
      <c r="E124" s="40">
        <v>299.08</v>
      </c>
      <c r="F124" s="40">
        <v>970.51</v>
      </c>
      <c r="Q124">
        <v>3</v>
      </c>
    </row>
    <row r="125" spans="1:17" ht="41.4" x14ac:dyDescent="0.25">
      <c r="A125" s="39" t="s">
        <v>189</v>
      </c>
      <c r="B125" s="31" t="s">
        <v>190</v>
      </c>
      <c r="C125" s="31" t="s">
        <v>184</v>
      </c>
      <c r="D125" s="32">
        <v>1.6235999999999999</v>
      </c>
      <c r="E125" s="40">
        <v>640.02</v>
      </c>
      <c r="F125" s="40">
        <v>1039.1400000000001</v>
      </c>
      <c r="Q125">
        <v>3</v>
      </c>
    </row>
    <row r="126" spans="1:17" ht="41.4" x14ac:dyDescent="0.25">
      <c r="A126" s="39" t="s">
        <v>191</v>
      </c>
      <c r="B126" s="31" t="s">
        <v>192</v>
      </c>
      <c r="C126" s="31" t="s">
        <v>184</v>
      </c>
      <c r="D126" s="32">
        <v>3.74</v>
      </c>
      <c r="E126" s="40">
        <v>277.83</v>
      </c>
      <c r="F126" s="40">
        <v>1039.08</v>
      </c>
      <c r="Q126">
        <v>3</v>
      </c>
    </row>
    <row r="127" spans="1:17" ht="41.4" x14ac:dyDescent="0.25">
      <c r="A127" s="39" t="s">
        <v>236</v>
      </c>
      <c r="B127" s="31" t="s">
        <v>237</v>
      </c>
      <c r="C127" s="31" t="s">
        <v>91</v>
      </c>
      <c r="D127" s="32">
        <v>2.6000999999999999</v>
      </c>
      <c r="E127" s="40">
        <v>611.34</v>
      </c>
      <c r="F127" s="40">
        <v>1589.55</v>
      </c>
      <c r="Q127">
        <v>3</v>
      </c>
    </row>
    <row r="128" spans="1:17" ht="27.6" x14ac:dyDescent="0.25">
      <c r="A128" s="39" t="s">
        <v>246</v>
      </c>
      <c r="B128" s="31" t="s">
        <v>247</v>
      </c>
      <c r="C128" s="31" t="s">
        <v>91</v>
      </c>
      <c r="D128" s="32">
        <v>7.6825000000000001</v>
      </c>
      <c r="E128" s="40">
        <v>73.02</v>
      </c>
      <c r="F128" s="40">
        <v>560.97</v>
      </c>
      <c r="Q128">
        <v>3</v>
      </c>
    </row>
    <row r="129" spans="1:17" ht="27.6" x14ac:dyDescent="0.25">
      <c r="A129" s="39" t="s">
        <v>248</v>
      </c>
      <c r="B129" s="31" t="s">
        <v>249</v>
      </c>
      <c r="C129" s="31" t="s">
        <v>179</v>
      </c>
      <c r="D129" s="32">
        <v>2.0605199999999999</v>
      </c>
      <c r="E129" s="40">
        <v>8645.27</v>
      </c>
      <c r="F129" s="40">
        <v>17813.75</v>
      </c>
      <c r="Q129">
        <v>3</v>
      </c>
    </row>
    <row r="130" spans="1:17" ht="96.6" x14ac:dyDescent="0.25">
      <c r="A130" s="39" t="s">
        <v>278</v>
      </c>
      <c r="B130" s="31" t="s">
        <v>279</v>
      </c>
      <c r="C130" s="31" t="s">
        <v>41</v>
      </c>
      <c r="D130" s="32">
        <v>6.3</v>
      </c>
      <c r="E130" s="40">
        <v>12936.26</v>
      </c>
      <c r="F130" s="40">
        <v>81498.44</v>
      </c>
      <c r="Q130">
        <v>3</v>
      </c>
    </row>
    <row r="131" spans="1:17" ht="13.8" x14ac:dyDescent="0.25">
      <c r="A131" s="80" t="s">
        <v>388</v>
      </c>
      <c r="B131" s="80"/>
      <c r="C131" s="80"/>
      <c r="D131" s="80"/>
      <c r="E131" s="81">
        <v>667999.85999999987</v>
      </c>
      <c r="F131" s="81"/>
    </row>
    <row r="132" spans="1:17" ht="16.8" x14ac:dyDescent="0.25">
      <c r="A132" s="71" t="s">
        <v>396</v>
      </c>
      <c r="B132" s="72"/>
      <c r="C132" s="72"/>
      <c r="D132" s="72"/>
      <c r="E132" s="72"/>
      <c r="F132" s="72"/>
    </row>
  </sheetData>
  <sortState xmlns:xlrd2="http://schemas.microsoft.com/office/spreadsheetml/2017/richdata2" ref="A73:R130">
    <sortCondition ref="A73"/>
  </sortState>
  <mergeCells count="26">
    <mergeCell ref="A132:F132"/>
    <mergeCell ref="A70:D70"/>
    <mergeCell ref="E70:F70"/>
    <mergeCell ref="A71:F71"/>
    <mergeCell ref="A72:F72"/>
    <mergeCell ref="A131:D131"/>
    <mergeCell ref="E131:F131"/>
    <mergeCell ref="A55:F55"/>
    <mergeCell ref="A8:F8"/>
    <mergeCell ref="A9:F9"/>
    <mergeCell ref="A10:F10"/>
    <mergeCell ref="A11:F11"/>
    <mergeCell ref="A27:D27"/>
    <mergeCell ref="E27:F27"/>
    <mergeCell ref="A28:F28"/>
    <mergeCell ref="A29:F29"/>
    <mergeCell ref="A53:D53"/>
    <mergeCell ref="E53:F53"/>
    <mergeCell ref="A54:F54"/>
    <mergeCell ref="A2:F2"/>
    <mergeCell ref="A3:F3"/>
    <mergeCell ref="A4:A6"/>
    <mergeCell ref="B4:B6"/>
    <mergeCell ref="C4:C6"/>
    <mergeCell ref="D4:D6"/>
    <mergeCell ref="E4:F5"/>
  </mergeCells>
  <pageMargins left="0.6" right="0.4" top="0.65" bottom="0.4" header="0.4" footer="0.4"/>
  <pageSetup paperSize="9" scale="86" fitToHeight="0" orientation="portrait" r:id="rId1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</vt:i4>
      </vt:variant>
    </vt:vector>
  </HeadingPairs>
  <TitlesOfParts>
    <vt:vector size="10" baseType="lpstr">
      <vt:lpstr>Смета СН-2012 по гл. 1-5</vt:lpstr>
      <vt:lpstr>Дефектная ведомость</vt:lpstr>
      <vt:lpstr>RV_DATA</vt:lpstr>
      <vt:lpstr>Расчет стоимости ресурсов</vt:lpstr>
      <vt:lpstr>'Дефектная ведомость'!Заголовки_для_печати</vt:lpstr>
      <vt:lpstr>'Расчет стоимости ресурсов'!Заголовки_для_печати</vt:lpstr>
      <vt:lpstr>'Смета СН-2012 по гл. 1-5'!Заголовки_для_печати</vt:lpstr>
      <vt:lpstr>'Дефектная ведомость'!Область_печати</vt:lpstr>
      <vt:lpstr>'Расчет стоимости ресурсов'!Область_печати</vt:lpstr>
      <vt:lpstr>'Смета СН-2012 по гл. 1-5'!Область_печати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Рощина Валентина Петровна</dc:creator>
  <cp:lastModifiedBy>Жидоморова Ольга Алексеевна</cp:lastModifiedBy>
  <cp:lastPrinted>2026-05-18T11:54:01Z</cp:lastPrinted>
  <dcterms:created xsi:type="dcterms:W3CDTF">2026-04-15T09:09:00Z</dcterms:created>
  <dcterms:modified xsi:type="dcterms:W3CDTF">2026-05-18T11:54:04Z</dcterms:modified>
</cp:coreProperties>
</file>